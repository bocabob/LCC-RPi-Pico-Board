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KiCad\LCC-Pico-Node_v2_6\"/>
    </mc:Choice>
  </mc:AlternateContent>
  <xr:revisionPtr revIDLastSave="0" documentId="13_ncr:1_{6084501E-7ED6-481A-9180-545B5DCB7B27}" xr6:coauthVersionLast="47" xr6:coauthVersionMax="47" xr10:uidLastSave="{00000000-0000-0000-0000-000000000000}"/>
  <bookViews>
    <workbookView xWindow="530" yWindow="1360" windowWidth="35460" windowHeight="19070" activeTab="1" xr2:uid="{0D54FBA9-F6A2-488E-868B-EC3D32E90CB7}"/>
  </bookViews>
  <sheets>
    <sheet name="LCC-Pico-Stepper_v2_6A" sheetId="1" r:id="rId1"/>
    <sheet name="Sheet2" sheetId="3" r:id="rId2"/>
    <sheet name="Sheet1" sheetId="2" r:id="rId3"/>
  </sheets>
  <calcPr calcId="181029"/>
</workbook>
</file>

<file path=xl/calcChain.xml><?xml version="1.0" encoding="utf-8"?>
<calcChain xmlns="http://schemas.openxmlformats.org/spreadsheetml/2006/main">
  <c r="E3" i="1" l="1"/>
  <c r="E59" i="1"/>
  <c r="E4" i="1"/>
  <c r="E5" i="1"/>
  <c r="E6" i="1"/>
  <c r="E7" i="1"/>
  <c r="E8" i="1"/>
  <c r="E34" i="1"/>
  <c r="E35" i="1"/>
  <c r="E9" i="1"/>
  <c r="E10" i="1"/>
  <c r="E11" i="1"/>
  <c r="E12" i="1"/>
  <c r="E13" i="1"/>
  <c r="E14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56" i="1"/>
  <c r="E57" i="1"/>
  <c r="E29" i="1"/>
  <c r="E30" i="1"/>
  <c r="E2" i="1"/>
</calcChain>
</file>

<file path=xl/sharedStrings.xml><?xml version="1.0" encoding="utf-8"?>
<sst xmlns="http://schemas.openxmlformats.org/spreadsheetml/2006/main" count="705" uniqueCount="338">
  <si>
    <t>Reference</t>
  </si>
  <si>
    <t>Value</t>
  </si>
  <si>
    <t>Footprint</t>
  </si>
  <si>
    <t>Qty</t>
  </si>
  <si>
    <t>Capacitor_SMD:C_1206_3216Metric_Pad1.33x1.80mm_HandSolder</t>
  </si>
  <si>
    <t>C2</t>
  </si>
  <si>
    <t>470uF</t>
  </si>
  <si>
    <t>Capacitor_THT:CP_Radial_D8.0mm_P3.50mm</t>
  </si>
  <si>
    <t>C4,C5,C8,C9,C10,C11,C12</t>
  </si>
  <si>
    <t>22uF</t>
  </si>
  <si>
    <t>C7</t>
  </si>
  <si>
    <t>1uF</t>
  </si>
  <si>
    <t>C13,C14</t>
  </si>
  <si>
    <t>22pF</t>
  </si>
  <si>
    <t>C16</t>
  </si>
  <si>
    <t>4.7uF</t>
  </si>
  <si>
    <t>D2,D3,D9,D10</t>
  </si>
  <si>
    <t>M7</t>
  </si>
  <si>
    <t>SamacSys_Parts:DIOM5327X240N</t>
  </si>
  <si>
    <t>D4,D5,D7,D8</t>
  </si>
  <si>
    <t>LED</t>
  </si>
  <si>
    <t>LED_SMD:LED_1206_3216Metric_Pad1.42x1.75mm_HandSolder</t>
  </si>
  <si>
    <t>D6,D11</t>
  </si>
  <si>
    <t>PwrG</t>
  </si>
  <si>
    <t>F1,F2</t>
  </si>
  <si>
    <t>0ZCG0035AF2C</t>
  </si>
  <si>
    <t>SamacSys_Parts:FUSC4632X70N</t>
  </si>
  <si>
    <t>IC1</t>
  </si>
  <si>
    <t>TPS54294PWPR</t>
  </si>
  <si>
    <t>SamacSys_Parts:SOP65P640X120-17N</t>
  </si>
  <si>
    <t>IC2</t>
  </si>
  <si>
    <t>MCP2518FDT-E_SL</t>
  </si>
  <si>
    <t>Package_SO:SOIC-14_3.9x8.7mm_P1.27mm</t>
  </si>
  <si>
    <t>IC3</t>
  </si>
  <si>
    <t>MCP2562FDT-E/SN</t>
  </si>
  <si>
    <t>Package_SO:SOIC-8_3.9x4.9mm_P1.27mm</t>
  </si>
  <si>
    <t>IC5</t>
  </si>
  <si>
    <t>MB85RCxxxV</t>
  </si>
  <si>
    <t>SamacSys_Parts:SOIC127P600X175-8N</t>
  </si>
  <si>
    <t>J1,J2</t>
  </si>
  <si>
    <t>RJ45</t>
  </si>
  <si>
    <t>SamacSys_Parts:MTJ880X1</t>
  </si>
  <si>
    <t>J3,J6,J12</t>
  </si>
  <si>
    <t>Power Sel</t>
  </si>
  <si>
    <t>Connector_PinHeader_2.54mm:PinHeader_1x03_P2.54mm_Vertical</t>
  </si>
  <si>
    <t>J5,J7</t>
  </si>
  <si>
    <t>I2C Header</t>
  </si>
  <si>
    <t>Connector_PinSocket_2.54mm:PinSocket_1x04_P2.54mm_Vertical</t>
  </si>
  <si>
    <t>J9</t>
  </si>
  <si>
    <t>Fram Breakout</t>
  </si>
  <si>
    <t>Connector_PinHeader_2.54mm:PinHeader_1x08_P2.54mm_Vertical</t>
  </si>
  <si>
    <t>J10</t>
  </si>
  <si>
    <t>NVM Addr</t>
  </si>
  <si>
    <t>Connector_PinHeader_2.54mm:PinHeader_2x04_P2.54mm_Vertical</t>
  </si>
  <si>
    <t>J11,J13,J15,J23</t>
  </si>
  <si>
    <t>Conn_01x03</t>
  </si>
  <si>
    <t>Connector_JST:JST_XH_B3B-XH-A_1x03_P2.50mm_Vertical</t>
  </si>
  <si>
    <t>J14,J17</t>
  </si>
  <si>
    <t>Conn_01x20</t>
  </si>
  <si>
    <t>Connector_PinHeader_2.54mm:PinHeader_1x20_P2.54mm_Vertical</t>
  </si>
  <si>
    <t>J16</t>
  </si>
  <si>
    <t>FRAM Power Sel</t>
  </si>
  <si>
    <t>Jumper:SolderJumper-3_P1.3mm_Open_RoundedPad1.0x1.5mm</t>
  </si>
  <si>
    <t>J18</t>
  </si>
  <si>
    <t>5 volt</t>
  </si>
  <si>
    <t>TerminalBlock_TE-Connectivity:TerminalBlock_TE_282834-2_1x02_P2.54mm_Horizontal</t>
  </si>
  <si>
    <t>J19</t>
  </si>
  <si>
    <t>3.3 volt</t>
  </si>
  <si>
    <t>J20</t>
  </si>
  <si>
    <t>Barrel Jack</t>
  </si>
  <si>
    <t>Connector_BarrelJack:BarrelJack_Horizontal</t>
  </si>
  <si>
    <t>J21</t>
  </si>
  <si>
    <t>I/O</t>
  </si>
  <si>
    <t>Connector_IDC:IDC-Header_2x05_P2.54mm_Vertical</t>
  </si>
  <si>
    <t>J22</t>
  </si>
  <si>
    <t>AGND</t>
  </si>
  <si>
    <t>J24</t>
  </si>
  <si>
    <t>External Reset</t>
  </si>
  <si>
    <t>Connector_PinHeader_2.54mm:PinHeader_1x02_P2.54mm_Vertical</t>
  </si>
  <si>
    <t>J27</t>
  </si>
  <si>
    <t>MasterPower</t>
  </si>
  <si>
    <t>JP1</t>
  </si>
  <si>
    <t>J2 Pwr</t>
  </si>
  <si>
    <t>JP2</t>
  </si>
  <si>
    <t>LCC Pwrd</t>
  </si>
  <si>
    <t>JP3</t>
  </si>
  <si>
    <t>J1 Pwr</t>
  </si>
  <si>
    <t>JP4</t>
  </si>
  <si>
    <t>LCC Grnd</t>
  </si>
  <si>
    <t>JP5</t>
  </si>
  <si>
    <t>Inject Power</t>
  </si>
  <si>
    <t>L1</t>
  </si>
  <si>
    <t>SRP3212A-2R2M</t>
  </si>
  <si>
    <t>SamacSys_Parts:INDC3225X120N</t>
  </si>
  <si>
    <t>L2</t>
  </si>
  <si>
    <t>SRP3212A-3R3M</t>
  </si>
  <si>
    <t>Q1</t>
  </si>
  <si>
    <t>DMG2305UX-7</t>
  </si>
  <si>
    <t>SamacSys_Parts:SOT96P240X115-3N</t>
  </si>
  <si>
    <t>R1</t>
  </si>
  <si>
    <t>124K</t>
  </si>
  <si>
    <t>Resistor_SMD:R_1206_3216Metric_Pad1.30x1.75mm_HandSolder</t>
  </si>
  <si>
    <t>R2,R4</t>
  </si>
  <si>
    <t>22.1K</t>
  </si>
  <si>
    <t>R3</t>
  </si>
  <si>
    <t>73.2K</t>
  </si>
  <si>
    <t>R5,R10,R12</t>
  </si>
  <si>
    <t>3K</t>
  </si>
  <si>
    <t>R6</t>
  </si>
  <si>
    <t>820R</t>
  </si>
  <si>
    <t>R7</t>
  </si>
  <si>
    <t>560R</t>
  </si>
  <si>
    <t>R8,R9,R13,R14</t>
  </si>
  <si>
    <t>10K</t>
  </si>
  <si>
    <t>R11</t>
  </si>
  <si>
    <t>2K</t>
  </si>
  <si>
    <t>R15</t>
  </si>
  <si>
    <t>6k8</t>
  </si>
  <si>
    <t>RPiPico1</t>
  </si>
  <si>
    <t>Raspberry Pi Pico</t>
  </si>
  <si>
    <t>MCU_RaspberryPi_and_Boards:RPi_Pico_SMD_TH</t>
  </si>
  <si>
    <t>Pico Reset</t>
  </si>
  <si>
    <t>SamacSys_Parts:TS1167443BK160RAD</t>
  </si>
  <si>
    <t>SW2</t>
  </si>
  <si>
    <t>Blue Button</t>
  </si>
  <si>
    <t>SW3</t>
  </si>
  <si>
    <t>Gold Button</t>
  </si>
  <si>
    <t>Y1</t>
  </si>
  <si>
    <t>ABM-40MHZ</t>
  </si>
  <si>
    <t>SamacSys_Parts:ABM3</t>
  </si>
  <si>
    <t>$2.46</t>
  </si>
  <si>
    <t>$0.246</t>
  </si>
  <si>
    <t>Aluminum Electrolytic Capacitors - Radial Leaded Radial Leaded Aluminum Electrolytic Capacitor</t>
  </si>
  <si>
    <t>KYOCERA AVX</t>
  </si>
  <si>
    <t>REF1016471M035K</t>
  </si>
  <si>
    <t>581-REF1016471M035K</t>
  </si>
  <si>
    <t>$0.86</t>
  </si>
  <si>
    <t>$0.43</t>
  </si>
  <si>
    <t>Crystals Xtal 3225 4-SMD 40MHz Tol +/-10ppm Stab +/-10ppm -10C - 60C 10pF 35 Ohms</t>
  </si>
  <si>
    <t>ABRACON</t>
  </si>
  <si>
    <t>ABM8-40.000MHZ-10-1-U-T</t>
  </si>
  <si>
    <t>815-ABM8-40-10-1-U-T</t>
  </si>
  <si>
    <t>$23.20</t>
  </si>
  <si>
    <t>Desktop AC Adapters 60W 15V 4A 2 Pole Medical PS</t>
  </si>
  <si>
    <t>MEAN WELL</t>
  </si>
  <si>
    <t>GSM60B15-P1J</t>
  </si>
  <si>
    <t>709-GSM60B15-P1J</t>
  </si>
  <si>
    <t>$33.60</t>
  </si>
  <si>
    <t>Desktop AC Adapters 90W 15V 6A Medical Adaptor</t>
  </si>
  <si>
    <t>GSM90B15-P1M</t>
  </si>
  <si>
    <t>709-GSM90B15-P1M</t>
  </si>
  <si>
    <t>$5.80</t>
  </si>
  <si>
    <t>$0.058</t>
  </si>
  <si>
    <t>Thin Film Resistors - SMD 6.8 kOhms 250 mW 0.5 % 1206</t>
  </si>
  <si>
    <t>YAGEO</t>
  </si>
  <si>
    <t>RT1206DRD076K8L</t>
  </si>
  <si>
    <t>603-RT1206DRD076K8L</t>
  </si>
  <si>
    <t>$3.60</t>
  </si>
  <si>
    <t>$0.036</t>
  </si>
  <si>
    <t>Thin Film Resistors - SMD 1/4W 820 ohm 1% 50ppm</t>
  </si>
  <si>
    <t>RT1206FRE07820RL</t>
  </si>
  <si>
    <t>603-RT1206FRE07820RL</t>
  </si>
  <si>
    <t>$3.30</t>
  </si>
  <si>
    <t>$0.033</t>
  </si>
  <si>
    <t>Thin Film Resistors - SMD 560   OHM   1%  50PPM   1/4W</t>
  </si>
  <si>
    <t>RT1206FRE07560RL</t>
  </si>
  <si>
    <t>603-RT1206FRE07560RL</t>
  </si>
  <si>
    <t>$5.52</t>
  </si>
  <si>
    <t>$1.38</t>
  </si>
  <si>
    <t>CAN Interface IC CAN Flexible Data Rate Transceiver</t>
  </si>
  <si>
    <t>Microchip</t>
  </si>
  <si>
    <t>MCP2562FD-E/P</t>
  </si>
  <si>
    <t>579-MCP2562FD-E/P</t>
  </si>
  <si>
    <t>$12.90</t>
  </si>
  <si>
    <t>$1.29</t>
  </si>
  <si>
    <t>579-MCP2562FDT-E/SN</t>
  </si>
  <si>
    <t>$6.30</t>
  </si>
  <si>
    <t>$0.063</t>
  </si>
  <si>
    <t>Multilayer Ceramic Capacitors MLCC - SMD/SMT 4.7uF+/-10% 16V X7R 1206</t>
  </si>
  <si>
    <t>Samsung Electro-Mechanics</t>
  </si>
  <si>
    <t>CL31B475KOHNFNE</t>
  </si>
  <si>
    <t>187-CL31B475KOHNFNE</t>
  </si>
  <si>
    <t>$5.60</t>
  </si>
  <si>
    <t>$0.056</t>
  </si>
  <si>
    <t>Multilayer Ceramic Capacitors MLCC - SMD/SMT 25V 22pF X8R 1206 5%</t>
  </si>
  <si>
    <t>KEMET</t>
  </si>
  <si>
    <t>C1206C220J3HACTU</t>
  </si>
  <si>
    <t>80-C1206C220J3HACTU</t>
  </si>
  <si>
    <t>$11.70</t>
  </si>
  <si>
    <t>$2.34</t>
  </si>
  <si>
    <t>CAN Interface IC CAN FD Controller and CAN FD TRX w/SPI Interface Grade 0</t>
  </si>
  <si>
    <t>MCP251863T-H/SS</t>
  </si>
  <si>
    <t>579-MCP251863T-H/SS</t>
  </si>
  <si>
    <t>$7.69</t>
  </si>
  <si>
    <t>$0.769</t>
  </si>
  <si>
    <t>NRND</t>
  </si>
  <si>
    <t>EEPROM I2C BUS(2-Wre) 512K SOP8 EEPROM</t>
  </si>
  <si>
    <t>ROHM Semiconductor</t>
  </si>
  <si>
    <t>BR24G512F-3AGTE2</t>
  </si>
  <si>
    <t>755-BR24G512F-3AGTE2</t>
  </si>
  <si>
    <t>$7.26</t>
  </si>
  <si>
    <t>F-RAM 256kbit FeRAM with I2C serial interface, 5V - SOP8 (208mil) T&amp;R</t>
  </si>
  <si>
    <t>RAMXEED</t>
  </si>
  <si>
    <t>MB85RC256VPF-G-BCERE1</t>
  </si>
  <si>
    <t>249-MB85RC256VBCERE1</t>
  </si>
  <si>
    <t>$41.40</t>
  </si>
  <si>
    <t>$2.07</t>
  </si>
  <si>
    <t>Switching Voltage Regulators 4.5-18Vin Dual 2A Ou t Sync SD Cnvrtr A A 595-TPS54294PWP</t>
  </si>
  <si>
    <t>Texas Instruments</t>
  </si>
  <si>
    <t>595-TPS54294PWPR</t>
  </si>
  <si>
    <t>$3.01</t>
  </si>
  <si>
    <t>$0.301</t>
  </si>
  <si>
    <t>Aluminum Electrolytic Capacitors - Radial Leaded 35VDC 470uF 8x20mm LS5mm</t>
  </si>
  <si>
    <t>Panasonic</t>
  </si>
  <si>
    <t>EEU-FR1V471L</t>
  </si>
  <si>
    <t>667-EEU-FR1V471L</t>
  </si>
  <si>
    <t>$1.90</t>
  </si>
  <si>
    <t>$0.019</t>
  </si>
  <si>
    <t>Thin Film Resistors - SMD 1/4W 2K ohm 1% 50ppm</t>
  </si>
  <si>
    <t>RT1206FRE072KL</t>
  </si>
  <si>
    <t>603-RT1206FRE072KL</t>
  </si>
  <si>
    <t>$9.05</t>
  </si>
  <si>
    <t>$0.181</t>
  </si>
  <si>
    <t>Single Color LEDs WL-SMRW SMD RvMt Mon Wtrclr Rect 1206BtGn</t>
  </si>
  <si>
    <t>Wurth Elektronik</t>
  </si>
  <si>
    <t>156120VS75000</t>
  </si>
  <si>
    <t>710-156120VS75000</t>
  </si>
  <si>
    <t>$4.10</t>
  </si>
  <si>
    <t>$0.041</t>
  </si>
  <si>
    <t>Multilayer Ceramic Capacitors MLCC - SMD/SMT 1uF+/-10% 25V X7R 32 1206</t>
  </si>
  <si>
    <t>CL31B105KAHNFNE</t>
  </si>
  <si>
    <t>187-CL31B105KAHNFNE</t>
  </si>
  <si>
    <t>$8.40</t>
  </si>
  <si>
    <t>$0.084</t>
  </si>
  <si>
    <t>Multilayer Ceramic Capacitors MLCC - SMD/SMT 22uF+/-20% 16V X5R 3 1206</t>
  </si>
  <si>
    <t>CL31A226MOCLNNC</t>
  </si>
  <si>
    <t>187-CL31A226MOCLNNC</t>
  </si>
  <si>
    <t>$4.23</t>
  </si>
  <si>
    <t>$0.423</t>
  </si>
  <si>
    <t>Crystals Xtal 5032 2-SMD 40MHz Tol +/-20ppm Stab +/-50ppm -20C - 70C 18pF 25 Ohms</t>
  </si>
  <si>
    <t>ABM3-40.000MHZ-B2-T</t>
  </si>
  <si>
    <t>815-ABM3-40-B2-T</t>
  </si>
  <si>
    <t>$6.20</t>
  </si>
  <si>
    <t>$0.124</t>
  </si>
  <si>
    <t>Tactile Switches 6 x 7.4 mm 4.3 mm 160 gf Black Right Angle Through Hole SPST</t>
  </si>
  <si>
    <t>Same Sky</t>
  </si>
  <si>
    <t>TS11-674-43-BK-160-RA-D</t>
  </si>
  <si>
    <t>179-TS1167443160RAD</t>
  </si>
  <si>
    <t>$2.38</t>
  </si>
  <si>
    <t>$0.119</t>
  </si>
  <si>
    <t xml:space="preserve">Resettable Fuses - PPTC </t>
  </si>
  <si>
    <t>Bel</t>
  </si>
  <si>
    <t>530-0ZCG0035AF2C</t>
  </si>
  <si>
    <t>Rectifiers Diode, SMA, 1000V, 1A</t>
  </si>
  <si>
    <t>Diotec Semiconductor</t>
  </si>
  <si>
    <t>637-M7</t>
  </si>
  <si>
    <t>$5.55</t>
  </si>
  <si>
    <t>$0.111</t>
  </si>
  <si>
    <t>MOSFETs P-Ch ENH FET -20V 52mOh -5A</t>
  </si>
  <si>
    <t>Diodes Incorporated</t>
  </si>
  <si>
    <t>621-DMG2305UX-7</t>
  </si>
  <si>
    <t>$11.15</t>
  </si>
  <si>
    <t>$0.429</t>
  </si>
  <si>
    <t>Modular Connectors / Ethernet Connectors 8P8C TYPE 0 GLD FLSH BLK</t>
  </si>
  <si>
    <t>Adam Tech</t>
  </si>
  <si>
    <t>MTJ-880X1</t>
  </si>
  <si>
    <t>737-MTJ-880X1</t>
  </si>
  <si>
    <t>$28.10</t>
  </si>
  <si>
    <t>$2.81</t>
  </si>
  <si>
    <t>Digital Isolators Iso 5V CAN Xcvr A 59 5-ISO1050DUB A 595-ISO1050DUB</t>
  </si>
  <si>
    <t>ISO1050DUBR</t>
  </si>
  <si>
    <t>595-ISO1050DUBR</t>
  </si>
  <si>
    <t>$3.54</t>
  </si>
  <si>
    <t>$0.059</t>
  </si>
  <si>
    <t>Multilayer Ceramic Capacitors MLCC - SMD/SMT 25V 0.1uF X7R 1206 10%</t>
  </si>
  <si>
    <t>C1206C104K3RAC7411</t>
  </si>
  <si>
    <t>80-C1206C104K3R7411</t>
  </si>
  <si>
    <t>$1.88</t>
  </si>
  <si>
    <t>$0.094</t>
  </si>
  <si>
    <t>Multilayer Ceramic Capacitors MLCC - SMD/SMT WCAP-CSGP 3300pF 1206 10% 25V MLCC</t>
  </si>
  <si>
    <t>885012208049</t>
  </si>
  <si>
    <t>710-885012208049</t>
  </si>
  <si>
    <t>$1.83</t>
  </si>
  <si>
    <t>$0.183</t>
  </si>
  <si>
    <t>Thin Film Resistors - SMD 1206 124Kohm 25ppm 0.1% AEC-Q200</t>
  </si>
  <si>
    <t>ERA-8AEB1243V</t>
  </si>
  <si>
    <t>667-ERA-8AEB1243V</t>
  </si>
  <si>
    <t>$3.46</t>
  </si>
  <si>
    <t>$0.173</t>
  </si>
  <si>
    <t>Thin Film Resistors - SMD 1206 22.1Kohm 25ppm 0.1% AEC-Q200</t>
  </si>
  <si>
    <t>ERA-8AEB2212V</t>
  </si>
  <si>
    <t>667-ERA-8AEB2212V</t>
  </si>
  <si>
    <t>$1.55</t>
  </si>
  <si>
    <t>$0.155</t>
  </si>
  <si>
    <t>Thin Film Resistors - SMD 1206 73.2Kohm 25ppm 0.1% AEC-Q200</t>
  </si>
  <si>
    <t>ERA-8AEB7322V</t>
  </si>
  <si>
    <t>667-ERA-8AEB7322V</t>
  </si>
  <si>
    <t>$2.00</t>
  </si>
  <si>
    <t>$0.20</t>
  </si>
  <si>
    <t>Power Inductors - SMD Ind,3.2x2.5x1mm,3.3uH+/-20%,3.1A,shd AEC-Q200</t>
  </si>
  <si>
    <t>Bourns</t>
  </si>
  <si>
    <t>652-SRP3212A-3R3M</t>
  </si>
  <si>
    <t>$1.84</t>
  </si>
  <si>
    <t>$0.184</t>
  </si>
  <si>
    <t>Power Inductors - SMD Ind,3.2x2.5x1mm,2.2uH+/-20%,4A,shd AEC-Q200</t>
  </si>
  <si>
    <t>652-SRP3212A-2R2M</t>
  </si>
  <si>
    <t>$3.29</t>
  </si>
  <si>
    <t>$0.329</t>
  </si>
  <si>
    <t>ESD Protection Diodes / TVS Diodes ESD    24V      BI</t>
  </si>
  <si>
    <t>Nexperia</t>
  </si>
  <si>
    <t>PESD1CAN,215</t>
  </si>
  <si>
    <t>771-PESD1CAN-T/R</t>
  </si>
  <si>
    <t>$19.60</t>
  </si>
  <si>
    <t>$1.96</t>
  </si>
  <si>
    <t>CAN Interface IC Stand-alone Low Power CAN FD Controller w/SPI Interface Grade1</t>
  </si>
  <si>
    <t>MCP2518FDT-E/SL</t>
  </si>
  <si>
    <t>579-MCP2518FDT-E/SL</t>
  </si>
  <si>
    <t>$9.86</t>
  </si>
  <si>
    <t>$0.986</t>
  </si>
  <si>
    <t>CAN Interface IC High-speed CAN transceiver</t>
  </si>
  <si>
    <t>NXP</t>
  </si>
  <si>
    <t>TJA1042T/3/1J</t>
  </si>
  <si>
    <t>771-TJA1042T/3/1J</t>
  </si>
  <si>
    <t>Estimated Tariff Ext. (USD)</t>
  </si>
  <si>
    <t>Estimated Tariff Price (USD)</t>
  </si>
  <si>
    <t>Ext.: (USD)</t>
  </si>
  <si>
    <t>Price (USD)</t>
  </si>
  <si>
    <t>Order Qty.</t>
  </si>
  <si>
    <t>Lifecycle</t>
  </si>
  <si>
    <t>Description</t>
  </si>
  <si>
    <t>Manufacturer</t>
  </si>
  <si>
    <t>Mfr. #</t>
  </si>
  <si>
    <t>Mouser #</t>
  </si>
  <si>
    <t>PICOCAN</t>
  </si>
  <si>
    <t>C1,C3,C6,C15,C19</t>
  </si>
  <si>
    <t>0.1uF, 100nF</t>
  </si>
  <si>
    <t>Order</t>
  </si>
  <si>
    <t>SW1,2,3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</si>
</sst>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5E6A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2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42"/>
    <xf numFmtId="8" fontId="18" fillId="33" borderId="0" xfId="42" applyNumberFormat="1" applyFill="1" applyAlignment="1">
      <alignment horizontal="left"/>
    </xf>
    <xf numFmtId="0" fontId="18" fillId="0" borderId="0" xfId="42" quotePrefix="1"/>
    <xf numFmtId="0" fontId="18" fillId="33" borderId="0" xfId="42" applyFill="1"/>
    <xf numFmtId="0" fontId="19" fillId="33" borderId="0" xfId="42" applyFont="1" applyFill="1"/>
    <xf numFmtId="0" fontId="19" fillId="0" borderId="0" xfId="42" applyFont="1"/>
    <xf numFmtId="0" fontId="19" fillId="0" borderId="0" xfId="42" quotePrefix="1" applyFont="1"/>
    <xf numFmtId="0" fontId="18" fillId="0" borderId="0" xfId="42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6917F37-AFF0-47E4-B152-7EB972C5E503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70100" cy="863600"/>
    <xdr:pic>
      <xdr:nvPicPr>
        <xdr:cNvPr id="2" name="Picture 1">
          <a:extLst>
            <a:ext uri="{FF2B5EF4-FFF2-40B4-BE49-F238E27FC236}">
              <a16:creationId xmlns:a16="http://schemas.microsoft.com/office/drawing/2014/main" id="{37DBE607-9D9A-44F8-BD3A-7A515D52C13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701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250F-B7FF-485B-A0F6-807B93BBC775}">
  <sheetPr>
    <pageSetUpPr fitToPage="1"/>
  </sheetPr>
  <dimension ref="A1:P64"/>
  <sheetViews>
    <sheetView workbookViewId="0">
      <pane ySplit="1" topLeftCell="A2" activePane="bottomLeft" state="frozen"/>
      <selection pane="bottomLeft" activeCell="F1" sqref="F1:J29"/>
    </sheetView>
  </sheetViews>
  <sheetFormatPr defaultRowHeight="14.5" x14ac:dyDescent="0.35"/>
  <cols>
    <col min="1" max="1" width="3.81640625" style="3" bestFit="1" customWidth="1"/>
    <col min="2" max="2" width="16.54296875" bestFit="1" customWidth="1"/>
    <col min="3" max="3" width="16.08984375" customWidth="1"/>
    <col min="4" max="4" width="75.08984375" bestFit="1" customWidth="1"/>
    <col min="5" max="6" width="6.81640625" customWidth="1"/>
    <col min="7" max="7" width="24.36328125" customWidth="1"/>
    <col min="8" max="8" width="23.6328125" customWidth="1"/>
    <col min="9" max="9" width="13.26953125" customWidth="1"/>
    <col min="10" max="10" width="62.1796875" customWidth="1"/>
  </cols>
  <sheetData>
    <row r="1" spans="1:16" s="1" customFormat="1" x14ac:dyDescent="0.35">
      <c r="A1" s="2" t="s">
        <v>3</v>
      </c>
      <c r="B1" s="1" t="s">
        <v>1</v>
      </c>
      <c r="C1" s="1" t="s">
        <v>0</v>
      </c>
      <c r="D1" s="1" t="s">
        <v>2</v>
      </c>
      <c r="E1" s="1">
        <v>25</v>
      </c>
      <c r="F1" s="1" t="s">
        <v>336</v>
      </c>
      <c r="G1" s="9" t="s">
        <v>332</v>
      </c>
      <c r="H1" s="9" t="s">
        <v>331</v>
      </c>
      <c r="I1" s="9" t="s">
        <v>330</v>
      </c>
      <c r="J1" s="9" t="s">
        <v>329</v>
      </c>
      <c r="K1" s="9" t="s">
        <v>328</v>
      </c>
      <c r="L1" s="9" t="s">
        <v>327</v>
      </c>
      <c r="M1" s="9" t="s">
        <v>326</v>
      </c>
      <c r="N1" s="9" t="s">
        <v>325</v>
      </c>
      <c r="O1" s="8" t="s">
        <v>324</v>
      </c>
      <c r="P1" s="8" t="s">
        <v>323</v>
      </c>
    </row>
    <row r="2" spans="1:16" x14ac:dyDescent="0.35">
      <c r="A2" s="3">
        <v>5</v>
      </c>
      <c r="B2" t="s">
        <v>335</v>
      </c>
      <c r="C2" t="s">
        <v>334</v>
      </c>
      <c r="D2" t="s">
        <v>4</v>
      </c>
      <c r="E2">
        <f>E$1*A2</f>
        <v>125</v>
      </c>
      <c r="F2">
        <v>100</v>
      </c>
      <c r="G2" s="4" t="s">
        <v>276</v>
      </c>
      <c r="H2" s="6" t="s">
        <v>275</v>
      </c>
      <c r="I2" s="4" t="s">
        <v>185</v>
      </c>
      <c r="J2" s="4" t="s">
        <v>274</v>
      </c>
      <c r="K2" s="4"/>
      <c r="L2" s="4">
        <v>60</v>
      </c>
      <c r="M2" s="6" t="s">
        <v>273</v>
      </c>
      <c r="N2" s="6" t="s">
        <v>272</v>
      </c>
      <c r="O2" s="7"/>
      <c r="P2" s="7"/>
    </row>
    <row r="3" spans="1:16" x14ac:dyDescent="0.35">
      <c r="A3" s="3">
        <v>1</v>
      </c>
      <c r="B3" t="s">
        <v>6</v>
      </c>
      <c r="C3" t="s">
        <v>5</v>
      </c>
      <c r="D3" t="s">
        <v>7</v>
      </c>
      <c r="E3">
        <f t="shared" ref="E3:E30" si="0">E$1*A3</f>
        <v>25</v>
      </c>
      <c r="G3" s="4" t="s">
        <v>135</v>
      </c>
      <c r="H3" s="6" t="s">
        <v>134</v>
      </c>
      <c r="I3" s="4" t="s">
        <v>133</v>
      </c>
      <c r="J3" s="4" t="s">
        <v>132</v>
      </c>
      <c r="K3" s="4"/>
      <c r="L3" s="4">
        <v>10</v>
      </c>
      <c r="M3" s="6" t="s">
        <v>131</v>
      </c>
      <c r="N3" s="6" t="s">
        <v>130</v>
      </c>
      <c r="O3" s="5">
        <v>0.03</v>
      </c>
      <c r="P3" s="5">
        <v>0.25</v>
      </c>
    </row>
    <row r="4" spans="1:16" x14ac:dyDescent="0.35">
      <c r="A4" s="3">
        <v>7</v>
      </c>
      <c r="B4" t="s">
        <v>9</v>
      </c>
      <c r="C4" t="s">
        <v>8</v>
      </c>
      <c r="D4" t="s">
        <v>4</v>
      </c>
      <c r="E4">
        <f t="shared" si="0"/>
        <v>175</v>
      </c>
      <c r="F4">
        <v>100</v>
      </c>
      <c r="G4" s="4" t="s">
        <v>236</v>
      </c>
      <c r="H4" s="6" t="s">
        <v>235</v>
      </c>
      <c r="I4" s="4" t="s">
        <v>179</v>
      </c>
      <c r="J4" s="4" t="s">
        <v>234</v>
      </c>
      <c r="K4" s="4"/>
      <c r="L4" s="4">
        <v>100</v>
      </c>
      <c r="M4" s="6" t="s">
        <v>233</v>
      </c>
      <c r="N4" s="6" t="s">
        <v>232</v>
      </c>
      <c r="O4" s="5">
        <v>0.01</v>
      </c>
      <c r="P4" s="5">
        <v>1.3</v>
      </c>
    </row>
    <row r="5" spans="1:16" x14ac:dyDescent="0.35">
      <c r="A5" s="3">
        <v>1</v>
      </c>
      <c r="B5" t="s">
        <v>11</v>
      </c>
      <c r="C5" t="s">
        <v>10</v>
      </c>
      <c r="D5" t="s">
        <v>4</v>
      </c>
      <c r="E5">
        <f t="shared" si="0"/>
        <v>25</v>
      </c>
      <c r="G5" s="4" t="s">
        <v>231</v>
      </c>
      <c r="H5" s="6" t="s">
        <v>230</v>
      </c>
      <c r="I5" s="4" t="s">
        <v>179</v>
      </c>
      <c r="J5" s="4" t="s">
        <v>229</v>
      </c>
      <c r="K5" s="4"/>
      <c r="L5" s="4">
        <v>100</v>
      </c>
      <c r="M5" s="6" t="s">
        <v>228</v>
      </c>
      <c r="N5" s="6" t="s">
        <v>227</v>
      </c>
      <c r="O5" s="5">
        <v>0.01</v>
      </c>
      <c r="P5" s="5">
        <v>0.6</v>
      </c>
    </row>
    <row r="6" spans="1:16" x14ac:dyDescent="0.35">
      <c r="A6" s="3">
        <v>2</v>
      </c>
      <c r="B6" t="s">
        <v>13</v>
      </c>
      <c r="C6" t="s">
        <v>12</v>
      </c>
      <c r="D6" t="s">
        <v>4</v>
      </c>
      <c r="E6">
        <f t="shared" si="0"/>
        <v>50</v>
      </c>
      <c r="G6" s="4" t="s">
        <v>187</v>
      </c>
      <c r="H6" s="6" t="s">
        <v>186</v>
      </c>
      <c r="I6" s="4" t="s">
        <v>185</v>
      </c>
      <c r="J6" s="4" t="s">
        <v>184</v>
      </c>
      <c r="K6" s="4"/>
      <c r="L6" s="4">
        <v>100</v>
      </c>
      <c r="M6" s="6" t="s">
        <v>183</v>
      </c>
      <c r="N6" s="6" t="s">
        <v>182</v>
      </c>
      <c r="O6" s="7"/>
      <c r="P6" s="7"/>
    </row>
    <row r="7" spans="1:16" x14ac:dyDescent="0.35">
      <c r="A7" s="3">
        <v>1</v>
      </c>
      <c r="B7" t="s">
        <v>15</v>
      </c>
      <c r="C7" t="s">
        <v>14</v>
      </c>
      <c r="D7" t="s">
        <v>4</v>
      </c>
      <c r="E7">
        <f t="shared" si="0"/>
        <v>25</v>
      </c>
      <c r="G7" s="4" t="s">
        <v>181</v>
      </c>
      <c r="H7" s="6" t="s">
        <v>180</v>
      </c>
      <c r="I7" s="4" t="s">
        <v>179</v>
      </c>
      <c r="J7" s="4" t="s">
        <v>178</v>
      </c>
      <c r="K7" s="4"/>
      <c r="L7" s="4">
        <v>100</v>
      </c>
      <c r="M7" s="6" t="s">
        <v>177</v>
      </c>
      <c r="N7" s="6" t="s">
        <v>176</v>
      </c>
      <c r="O7" s="5">
        <v>0.03</v>
      </c>
      <c r="P7" s="5">
        <v>2.8</v>
      </c>
    </row>
    <row r="8" spans="1:16" x14ac:dyDescent="0.35">
      <c r="A8" s="3">
        <v>4</v>
      </c>
      <c r="B8" t="s">
        <v>17</v>
      </c>
      <c r="C8" t="s">
        <v>16</v>
      </c>
      <c r="D8" t="s">
        <v>18</v>
      </c>
      <c r="E8">
        <f t="shared" si="0"/>
        <v>100</v>
      </c>
      <c r="G8" s="4" t="s">
        <v>255</v>
      </c>
      <c r="H8" s="6" t="s">
        <v>17</v>
      </c>
      <c r="I8" s="4" t="s">
        <v>254</v>
      </c>
      <c r="J8" s="4" t="s">
        <v>253</v>
      </c>
      <c r="K8" s="4"/>
      <c r="L8" s="4">
        <v>100</v>
      </c>
      <c r="M8" s="6" t="s">
        <v>228</v>
      </c>
      <c r="N8" s="6" t="s">
        <v>227</v>
      </c>
      <c r="O8" s="5">
        <v>0.02</v>
      </c>
      <c r="P8" s="5">
        <v>2.2999999999999998</v>
      </c>
    </row>
    <row r="9" spans="1:16" x14ac:dyDescent="0.35">
      <c r="A9" s="3">
        <v>2</v>
      </c>
      <c r="B9" t="s">
        <v>25</v>
      </c>
      <c r="C9" t="s">
        <v>24</v>
      </c>
      <c r="D9" t="s">
        <v>26</v>
      </c>
      <c r="E9">
        <f t="shared" si="0"/>
        <v>50</v>
      </c>
      <c r="F9">
        <v>50</v>
      </c>
      <c r="G9" s="4" t="s">
        <v>252</v>
      </c>
      <c r="H9" s="6" t="s">
        <v>25</v>
      </c>
      <c r="I9" s="4" t="s">
        <v>251</v>
      </c>
      <c r="J9" s="4" t="s">
        <v>250</v>
      </c>
      <c r="K9" s="4"/>
      <c r="L9" s="4">
        <v>20</v>
      </c>
      <c r="M9" s="6" t="s">
        <v>249</v>
      </c>
      <c r="N9" s="6" t="s">
        <v>248</v>
      </c>
      <c r="O9" s="5">
        <v>0.02</v>
      </c>
      <c r="P9" s="5">
        <v>0.38</v>
      </c>
    </row>
    <row r="10" spans="1:16" x14ac:dyDescent="0.35">
      <c r="A10" s="3">
        <v>1</v>
      </c>
      <c r="B10" t="s">
        <v>28</v>
      </c>
      <c r="C10" t="s">
        <v>27</v>
      </c>
      <c r="D10" t="s">
        <v>29</v>
      </c>
      <c r="E10">
        <f t="shared" si="0"/>
        <v>25</v>
      </c>
      <c r="F10">
        <v>25</v>
      </c>
      <c r="G10" s="4" t="s">
        <v>209</v>
      </c>
      <c r="H10" s="6" t="s">
        <v>28</v>
      </c>
      <c r="I10" s="4" t="s">
        <v>208</v>
      </c>
      <c r="J10" s="4" t="s">
        <v>207</v>
      </c>
      <c r="K10" s="4"/>
      <c r="L10" s="4">
        <v>20</v>
      </c>
      <c r="M10" s="6" t="s">
        <v>206</v>
      </c>
      <c r="N10" s="6" t="s">
        <v>205</v>
      </c>
      <c r="O10" s="7"/>
      <c r="P10" s="7"/>
    </row>
    <row r="11" spans="1:16" x14ac:dyDescent="0.35">
      <c r="A11" s="3">
        <v>1</v>
      </c>
      <c r="B11" t="s">
        <v>31</v>
      </c>
      <c r="C11" t="s">
        <v>30</v>
      </c>
      <c r="D11" t="s">
        <v>32</v>
      </c>
      <c r="E11">
        <f t="shared" si="0"/>
        <v>25</v>
      </c>
      <c r="F11">
        <v>25</v>
      </c>
      <c r="G11" s="4" t="s">
        <v>316</v>
      </c>
      <c r="H11" s="6" t="s">
        <v>315</v>
      </c>
      <c r="I11" s="4" t="s">
        <v>170</v>
      </c>
      <c r="J11" s="4" t="s">
        <v>314</v>
      </c>
      <c r="K11" s="4"/>
      <c r="L11" s="4">
        <v>10</v>
      </c>
      <c r="M11" s="6" t="s">
        <v>313</v>
      </c>
      <c r="N11" s="6" t="s">
        <v>312</v>
      </c>
      <c r="O11" s="7"/>
      <c r="P11" s="7"/>
    </row>
    <row r="12" spans="1:16" x14ac:dyDescent="0.35">
      <c r="A12" s="3">
        <v>1</v>
      </c>
      <c r="B12" t="s">
        <v>34</v>
      </c>
      <c r="C12" t="s">
        <v>33</v>
      </c>
      <c r="D12" t="s">
        <v>35</v>
      </c>
      <c r="E12">
        <f t="shared" si="0"/>
        <v>25</v>
      </c>
      <c r="F12">
        <v>25</v>
      </c>
      <c r="G12" s="4" t="s">
        <v>175</v>
      </c>
      <c r="H12" s="6" t="s">
        <v>34</v>
      </c>
      <c r="I12" s="4" t="s">
        <v>170</v>
      </c>
      <c r="J12" s="4" t="s">
        <v>169</v>
      </c>
      <c r="K12" s="4"/>
      <c r="L12" s="4">
        <v>10</v>
      </c>
      <c r="M12" s="6" t="s">
        <v>174</v>
      </c>
      <c r="N12" s="6" t="s">
        <v>173</v>
      </c>
      <c r="O12" s="7"/>
      <c r="P12" s="7"/>
    </row>
    <row r="13" spans="1:16" x14ac:dyDescent="0.35">
      <c r="A13" s="3">
        <v>1</v>
      </c>
      <c r="B13" t="s">
        <v>37</v>
      </c>
      <c r="C13" t="s">
        <v>36</v>
      </c>
      <c r="D13" t="s">
        <v>38</v>
      </c>
      <c r="E13">
        <f t="shared" si="0"/>
        <v>25</v>
      </c>
      <c r="G13" s="4" t="s">
        <v>199</v>
      </c>
      <c r="H13" s="6" t="s">
        <v>198</v>
      </c>
      <c r="I13" s="4" t="s">
        <v>197</v>
      </c>
      <c r="J13" s="4" t="s">
        <v>196</v>
      </c>
      <c r="K13" s="4" t="s">
        <v>195</v>
      </c>
      <c r="L13" s="4">
        <v>10</v>
      </c>
      <c r="M13" s="6" t="s">
        <v>194</v>
      </c>
      <c r="N13" s="6" t="s">
        <v>193</v>
      </c>
      <c r="O13" s="7"/>
      <c r="P13" s="7"/>
    </row>
    <row r="14" spans="1:16" x14ac:dyDescent="0.35">
      <c r="A14" s="3">
        <v>2</v>
      </c>
      <c r="B14" t="s">
        <v>40</v>
      </c>
      <c r="C14" t="s">
        <v>39</v>
      </c>
      <c r="D14" t="s">
        <v>41</v>
      </c>
      <c r="E14">
        <f t="shared" si="0"/>
        <v>50</v>
      </c>
      <c r="F14">
        <v>26</v>
      </c>
      <c r="G14" s="4" t="s">
        <v>266</v>
      </c>
      <c r="H14" s="6" t="s">
        <v>265</v>
      </c>
      <c r="I14" s="4" t="s">
        <v>264</v>
      </c>
      <c r="J14" s="4" t="s">
        <v>263</v>
      </c>
      <c r="K14" s="4"/>
      <c r="L14" s="4">
        <v>26</v>
      </c>
      <c r="M14" s="6" t="s">
        <v>262</v>
      </c>
      <c r="N14" s="6" t="s">
        <v>261</v>
      </c>
      <c r="O14" s="5">
        <v>0.04</v>
      </c>
      <c r="P14" s="5">
        <v>1.1200000000000001</v>
      </c>
    </row>
    <row r="15" spans="1:16" x14ac:dyDescent="0.35">
      <c r="A15" s="3">
        <v>1</v>
      </c>
      <c r="B15" t="s">
        <v>92</v>
      </c>
      <c r="C15" t="s">
        <v>91</v>
      </c>
      <c r="D15" t="s">
        <v>93</v>
      </c>
      <c r="E15">
        <f t="shared" si="0"/>
        <v>25</v>
      </c>
      <c r="F15">
        <v>25</v>
      </c>
      <c r="G15" s="4" t="s">
        <v>305</v>
      </c>
      <c r="H15" s="6" t="s">
        <v>92</v>
      </c>
      <c r="I15" s="4" t="s">
        <v>300</v>
      </c>
      <c r="J15" s="4" t="s">
        <v>304</v>
      </c>
      <c r="K15" s="4"/>
      <c r="L15" s="4">
        <v>10</v>
      </c>
      <c r="M15" s="6" t="s">
        <v>303</v>
      </c>
      <c r="N15" s="6" t="s">
        <v>302</v>
      </c>
      <c r="O15" s="5">
        <v>0.05</v>
      </c>
      <c r="P15" s="5">
        <v>0.5</v>
      </c>
    </row>
    <row r="16" spans="1:16" x14ac:dyDescent="0.35">
      <c r="A16" s="3">
        <v>1</v>
      </c>
      <c r="B16" t="s">
        <v>95</v>
      </c>
      <c r="C16" t="s">
        <v>94</v>
      </c>
      <c r="D16" t="s">
        <v>93</v>
      </c>
      <c r="E16">
        <f t="shared" si="0"/>
        <v>25</v>
      </c>
      <c r="F16">
        <v>25</v>
      </c>
      <c r="G16" s="4" t="s">
        <v>301</v>
      </c>
      <c r="H16" s="6" t="s">
        <v>95</v>
      </c>
      <c r="I16" s="4" t="s">
        <v>300</v>
      </c>
      <c r="J16" s="4" t="s">
        <v>299</v>
      </c>
      <c r="K16" s="4"/>
      <c r="L16" s="4">
        <v>10</v>
      </c>
      <c r="M16" s="6" t="s">
        <v>298</v>
      </c>
      <c r="N16" s="6" t="s">
        <v>297</v>
      </c>
      <c r="O16" s="5">
        <v>0.05</v>
      </c>
      <c r="P16" s="5">
        <v>0.54</v>
      </c>
    </row>
    <row r="17" spans="1:16" x14ac:dyDescent="0.35">
      <c r="A17" s="3">
        <v>1</v>
      </c>
      <c r="B17" t="s">
        <v>97</v>
      </c>
      <c r="C17" t="s">
        <v>96</v>
      </c>
      <c r="D17" t="s">
        <v>98</v>
      </c>
      <c r="E17">
        <f t="shared" si="0"/>
        <v>25</v>
      </c>
      <c r="G17" s="4" t="s">
        <v>260</v>
      </c>
      <c r="H17" s="6" t="s">
        <v>97</v>
      </c>
      <c r="I17" s="4" t="s">
        <v>259</v>
      </c>
      <c r="J17" s="4" t="s">
        <v>258</v>
      </c>
      <c r="K17" s="4"/>
      <c r="L17" s="4">
        <v>50</v>
      </c>
      <c r="M17" s="6" t="s">
        <v>257</v>
      </c>
      <c r="N17" s="6" t="s">
        <v>256</v>
      </c>
      <c r="O17" s="5">
        <v>0.06</v>
      </c>
      <c r="P17" s="5">
        <v>3.1</v>
      </c>
    </row>
    <row r="18" spans="1:16" x14ac:dyDescent="0.35">
      <c r="A18" s="3">
        <v>1</v>
      </c>
      <c r="B18" t="s">
        <v>100</v>
      </c>
      <c r="C18" t="s">
        <v>99</v>
      </c>
      <c r="D18" t="s">
        <v>101</v>
      </c>
      <c r="E18">
        <f t="shared" si="0"/>
        <v>25</v>
      </c>
      <c r="F18">
        <v>25</v>
      </c>
      <c r="G18" s="4" t="s">
        <v>286</v>
      </c>
      <c r="H18" s="6" t="s">
        <v>285</v>
      </c>
      <c r="I18" s="4" t="s">
        <v>213</v>
      </c>
      <c r="J18" s="4" t="s">
        <v>284</v>
      </c>
      <c r="K18" s="4"/>
      <c r="L18" s="4">
        <v>10</v>
      </c>
      <c r="M18" s="6" t="s">
        <v>283</v>
      </c>
      <c r="N18" s="6" t="s">
        <v>282</v>
      </c>
      <c r="O18" s="7"/>
      <c r="P18" s="7"/>
    </row>
    <row r="19" spans="1:16" x14ac:dyDescent="0.35">
      <c r="A19" s="3">
        <v>2</v>
      </c>
      <c r="B19" t="s">
        <v>103</v>
      </c>
      <c r="C19" t="s">
        <v>102</v>
      </c>
      <c r="D19" t="s">
        <v>101</v>
      </c>
      <c r="E19">
        <f t="shared" si="0"/>
        <v>50</v>
      </c>
      <c r="F19">
        <v>50</v>
      </c>
      <c r="G19" s="4" t="s">
        <v>291</v>
      </c>
      <c r="H19" s="6" t="s">
        <v>290</v>
      </c>
      <c r="I19" s="4" t="s">
        <v>213</v>
      </c>
      <c r="J19" s="4" t="s">
        <v>289</v>
      </c>
      <c r="K19" s="4"/>
      <c r="L19" s="4">
        <v>20</v>
      </c>
      <c r="M19" s="6" t="s">
        <v>288</v>
      </c>
      <c r="N19" s="6" t="s">
        <v>287</v>
      </c>
      <c r="O19" s="7"/>
      <c r="P19" s="7"/>
    </row>
    <row r="20" spans="1:16" x14ac:dyDescent="0.35">
      <c r="A20" s="3">
        <v>1</v>
      </c>
      <c r="B20" t="s">
        <v>105</v>
      </c>
      <c r="C20" t="s">
        <v>104</v>
      </c>
      <c r="D20" t="s">
        <v>101</v>
      </c>
      <c r="E20">
        <f t="shared" si="0"/>
        <v>25</v>
      </c>
      <c r="F20">
        <v>25</v>
      </c>
      <c r="G20" s="4" t="s">
        <v>296</v>
      </c>
      <c r="H20" s="6" t="s">
        <v>295</v>
      </c>
      <c r="I20" s="4" t="s">
        <v>213</v>
      </c>
      <c r="J20" s="4" t="s">
        <v>294</v>
      </c>
      <c r="K20" s="4"/>
      <c r="L20" s="4">
        <v>10</v>
      </c>
      <c r="M20" s="6" t="s">
        <v>293</v>
      </c>
      <c r="N20" s="6" t="s">
        <v>292</v>
      </c>
      <c r="O20" s="7"/>
      <c r="P20" s="7"/>
    </row>
    <row r="21" spans="1:16" x14ac:dyDescent="0.35">
      <c r="A21" s="3">
        <v>3</v>
      </c>
      <c r="B21" t="s">
        <v>107</v>
      </c>
      <c r="C21" t="s">
        <v>106</v>
      </c>
      <c r="D21" t="s">
        <v>101</v>
      </c>
      <c r="E21">
        <f t="shared" si="0"/>
        <v>75</v>
      </c>
      <c r="F21">
        <v>100</v>
      </c>
    </row>
    <row r="22" spans="1:16" x14ac:dyDescent="0.35">
      <c r="A22" s="3">
        <v>1</v>
      </c>
      <c r="B22" t="s">
        <v>109</v>
      </c>
      <c r="C22" t="s">
        <v>108</v>
      </c>
      <c r="D22" t="s">
        <v>101</v>
      </c>
      <c r="E22">
        <f t="shared" si="0"/>
        <v>25</v>
      </c>
      <c r="G22" s="4" t="s">
        <v>161</v>
      </c>
      <c r="H22" s="6" t="s">
        <v>160</v>
      </c>
      <c r="I22" s="4" t="s">
        <v>154</v>
      </c>
      <c r="J22" s="4" t="s">
        <v>159</v>
      </c>
      <c r="K22" s="4"/>
      <c r="L22" s="4">
        <v>100</v>
      </c>
      <c r="M22" s="6" t="s">
        <v>158</v>
      </c>
      <c r="N22" s="6" t="s">
        <v>157</v>
      </c>
      <c r="O22" s="5">
        <v>0.01</v>
      </c>
      <c r="P22" s="5">
        <v>1.3</v>
      </c>
    </row>
    <row r="23" spans="1:16" x14ac:dyDescent="0.35">
      <c r="A23" s="3">
        <v>1</v>
      </c>
      <c r="B23" t="s">
        <v>111</v>
      </c>
      <c r="C23" t="s">
        <v>110</v>
      </c>
      <c r="D23" t="s">
        <v>101</v>
      </c>
      <c r="E23">
        <f t="shared" si="0"/>
        <v>25</v>
      </c>
      <c r="G23" s="4" t="s">
        <v>166</v>
      </c>
      <c r="H23" s="6" t="s">
        <v>165</v>
      </c>
      <c r="I23" s="4" t="s">
        <v>154</v>
      </c>
      <c r="J23" s="4" t="s">
        <v>164</v>
      </c>
      <c r="K23" s="4"/>
      <c r="L23" s="4">
        <v>100</v>
      </c>
      <c r="M23" s="6" t="s">
        <v>163</v>
      </c>
      <c r="N23" s="6" t="s">
        <v>162</v>
      </c>
      <c r="O23" s="5">
        <v>0.01</v>
      </c>
      <c r="P23" s="5">
        <v>1.2</v>
      </c>
    </row>
    <row r="24" spans="1:16" x14ac:dyDescent="0.35">
      <c r="A24" s="3">
        <v>4</v>
      </c>
      <c r="B24" t="s">
        <v>113</v>
      </c>
      <c r="C24" t="s">
        <v>112</v>
      </c>
      <c r="D24" t="s">
        <v>101</v>
      </c>
      <c r="E24">
        <f t="shared" si="0"/>
        <v>100</v>
      </c>
      <c r="F24">
        <v>100</v>
      </c>
    </row>
    <row r="25" spans="1:16" x14ac:dyDescent="0.35">
      <c r="A25" s="3">
        <v>1</v>
      </c>
      <c r="B25" t="s">
        <v>115</v>
      </c>
      <c r="C25" t="s">
        <v>114</v>
      </c>
      <c r="D25" t="s">
        <v>101</v>
      </c>
      <c r="E25">
        <f t="shared" si="0"/>
        <v>25</v>
      </c>
      <c r="G25" s="4" t="s">
        <v>220</v>
      </c>
      <c r="H25" s="6" t="s">
        <v>219</v>
      </c>
      <c r="I25" s="4" t="s">
        <v>154</v>
      </c>
      <c r="J25" s="4" t="s">
        <v>218</v>
      </c>
      <c r="K25" s="4"/>
      <c r="L25" s="4">
        <v>100</v>
      </c>
      <c r="M25" s="6" t="s">
        <v>217</v>
      </c>
      <c r="N25" s="6" t="s">
        <v>216</v>
      </c>
      <c r="O25" s="7"/>
      <c r="P25" s="7"/>
    </row>
    <row r="26" spans="1:16" x14ac:dyDescent="0.35">
      <c r="A26" s="3">
        <v>1</v>
      </c>
      <c r="B26" t="s">
        <v>117</v>
      </c>
      <c r="C26" t="s">
        <v>116</v>
      </c>
      <c r="D26" t="s">
        <v>101</v>
      </c>
      <c r="E26">
        <f t="shared" si="0"/>
        <v>25</v>
      </c>
      <c r="G26" s="4" t="s">
        <v>156</v>
      </c>
      <c r="H26" s="6" t="s">
        <v>155</v>
      </c>
      <c r="I26" s="4" t="s">
        <v>154</v>
      </c>
      <c r="J26" s="4" t="s">
        <v>153</v>
      </c>
      <c r="K26" s="4"/>
      <c r="L26" s="4">
        <v>100</v>
      </c>
      <c r="M26" s="6" t="s">
        <v>152</v>
      </c>
      <c r="N26" s="6" t="s">
        <v>151</v>
      </c>
      <c r="O26" s="7"/>
      <c r="P26" s="7"/>
    </row>
    <row r="27" spans="1:16" x14ac:dyDescent="0.35">
      <c r="A27" s="3">
        <v>1</v>
      </c>
      <c r="B27" t="s">
        <v>119</v>
      </c>
      <c r="C27" t="s">
        <v>118</v>
      </c>
      <c r="D27" t="s">
        <v>120</v>
      </c>
      <c r="E27">
        <f t="shared" si="0"/>
        <v>25</v>
      </c>
      <c r="F27">
        <v>5</v>
      </c>
    </row>
    <row r="28" spans="1:16" x14ac:dyDescent="0.35">
      <c r="A28" s="3">
        <v>3</v>
      </c>
      <c r="B28" t="s">
        <v>121</v>
      </c>
      <c r="C28" t="s">
        <v>337</v>
      </c>
      <c r="D28" t="s">
        <v>122</v>
      </c>
      <c r="E28">
        <f t="shared" si="0"/>
        <v>75</v>
      </c>
      <c r="F28">
        <v>50</v>
      </c>
      <c r="G28" s="4" t="s">
        <v>247</v>
      </c>
      <c r="H28" s="6" t="s">
        <v>246</v>
      </c>
      <c r="I28" s="4" t="s">
        <v>245</v>
      </c>
      <c r="J28" s="4" t="s">
        <v>244</v>
      </c>
      <c r="K28" s="4"/>
      <c r="L28" s="4">
        <v>50</v>
      </c>
      <c r="M28" s="6" t="s">
        <v>243</v>
      </c>
      <c r="N28" s="6" t="s">
        <v>242</v>
      </c>
      <c r="O28" s="5">
        <v>0.03</v>
      </c>
      <c r="P28" s="5">
        <v>1.65</v>
      </c>
    </row>
    <row r="29" spans="1:16" x14ac:dyDescent="0.35">
      <c r="A29" s="3">
        <v>1</v>
      </c>
      <c r="B29" t="s">
        <v>128</v>
      </c>
      <c r="C29" t="s">
        <v>127</v>
      </c>
      <c r="D29" t="s">
        <v>129</v>
      </c>
      <c r="E29">
        <f t="shared" si="0"/>
        <v>25</v>
      </c>
      <c r="F29">
        <v>25</v>
      </c>
      <c r="G29" s="4" t="s">
        <v>241</v>
      </c>
      <c r="H29" s="6" t="s">
        <v>240</v>
      </c>
      <c r="I29" s="4" t="s">
        <v>139</v>
      </c>
      <c r="J29" s="4" t="s">
        <v>239</v>
      </c>
      <c r="K29" s="4"/>
      <c r="L29" s="4">
        <v>10</v>
      </c>
      <c r="M29" s="6" t="s">
        <v>238</v>
      </c>
      <c r="N29" s="6" t="s">
        <v>237</v>
      </c>
      <c r="O29" s="5">
        <v>0.19</v>
      </c>
      <c r="P29" s="5">
        <v>1.86</v>
      </c>
    </row>
    <row r="30" spans="1:16" x14ac:dyDescent="0.35">
      <c r="E30">
        <f t="shared" si="0"/>
        <v>0</v>
      </c>
      <c r="G30" s="4" t="s">
        <v>141</v>
      </c>
      <c r="H30" s="6" t="s">
        <v>140</v>
      </c>
      <c r="I30" s="4" t="s">
        <v>139</v>
      </c>
      <c r="J30" s="4" t="s">
        <v>138</v>
      </c>
      <c r="K30" s="4"/>
      <c r="L30" s="4">
        <v>2</v>
      </c>
      <c r="M30" s="6" t="s">
        <v>137</v>
      </c>
      <c r="N30" s="6" t="s">
        <v>136</v>
      </c>
      <c r="O30" s="7"/>
      <c r="P30" s="7"/>
    </row>
    <row r="32" spans="1:16" x14ac:dyDescent="0.35">
      <c r="F32">
        <v>5</v>
      </c>
      <c r="G32" s="4" t="s">
        <v>192</v>
      </c>
      <c r="H32" s="6" t="s">
        <v>191</v>
      </c>
      <c r="I32" s="4" t="s">
        <v>170</v>
      </c>
      <c r="J32" s="4" t="s">
        <v>190</v>
      </c>
      <c r="K32" s="4"/>
      <c r="L32" s="4">
        <v>5</v>
      </c>
      <c r="M32" s="6" t="s">
        <v>189</v>
      </c>
      <c r="N32" s="6" t="s">
        <v>188</v>
      </c>
      <c r="O32" s="7"/>
      <c r="P32" s="7"/>
    </row>
    <row r="33" spans="1:16" x14ac:dyDescent="0.35">
      <c r="G33" s="4"/>
      <c r="H33" s="6"/>
      <c r="I33" s="4"/>
      <c r="J33" s="4"/>
      <c r="K33" s="4"/>
      <c r="L33" s="4"/>
      <c r="M33" s="6"/>
      <c r="N33" s="6"/>
      <c r="O33" s="7"/>
      <c r="P33" s="7"/>
    </row>
    <row r="34" spans="1:16" x14ac:dyDescent="0.35">
      <c r="A34" s="3">
        <v>4</v>
      </c>
      <c r="B34" t="s">
        <v>20</v>
      </c>
      <c r="C34" t="s">
        <v>19</v>
      </c>
      <c r="D34" t="s">
        <v>21</v>
      </c>
      <c r="E34">
        <f>E$1*A34</f>
        <v>100</v>
      </c>
      <c r="G34" s="4" t="s">
        <v>226</v>
      </c>
      <c r="H34" s="6" t="s">
        <v>225</v>
      </c>
      <c r="I34" s="4" t="s">
        <v>224</v>
      </c>
      <c r="J34" s="4" t="s">
        <v>223</v>
      </c>
      <c r="K34" s="4"/>
      <c r="L34" s="4">
        <v>50</v>
      </c>
      <c r="M34" s="6" t="s">
        <v>222</v>
      </c>
      <c r="N34" s="6" t="s">
        <v>221</v>
      </c>
      <c r="O34" s="5">
        <v>7.0000000000000007E-2</v>
      </c>
      <c r="P34" s="5">
        <v>3.6</v>
      </c>
    </row>
    <row r="35" spans="1:16" x14ac:dyDescent="0.35">
      <c r="A35" s="3">
        <v>2</v>
      </c>
      <c r="B35" t="s">
        <v>23</v>
      </c>
      <c r="C35" t="s">
        <v>22</v>
      </c>
      <c r="D35" t="s">
        <v>21</v>
      </c>
      <c r="E35">
        <f>E$1*A35</f>
        <v>50</v>
      </c>
    </row>
    <row r="36" spans="1:16" x14ac:dyDescent="0.35">
      <c r="A36" s="3">
        <v>3</v>
      </c>
      <c r="B36" t="s">
        <v>43</v>
      </c>
      <c r="C36" t="s">
        <v>42</v>
      </c>
      <c r="D36" t="s">
        <v>44</v>
      </c>
      <c r="E36">
        <f>E$1*A36</f>
        <v>75</v>
      </c>
    </row>
    <row r="37" spans="1:16" x14ac:dyDescent="0.35">
      <c r="A37" s="3">
        <v>2</v>
      </c>
      <c r="B37" t="s">
        <v>46</v>
      </c>
      <c r="C37" t="s">
        <v>45</v>
      </c>
      <c r="D37" t="s">
        <v>47</v>
      </c>
      <c r="E37">
        <f>E$1*A37</f>
        <v>50</v>
      </c>
    </row>
    <row r="38" spans="1:16" x14ac:dyDescent="0.35">
      <c r="A38" s="3">
        <v>1</v>
      </c>
      <c r="B38" t="s">
        <v>49</v>
      </c>
      <c r="C38" t="s">
        <v>48</v>
      </c>
      <c r="D38" t="s">
        <v>50</v>
      </c>
      <c r="E38">
        <f>E$1*A38</f>
        <v>25</v>
      </c>
    </row>
    <row r="39" spans="1:16" x14ac:dyDescent="0.35">
      <c r="A39" s="3">
        <v>1</v>
      </c>
      <c r="B39" t="s">
        <v>52</v>
      </c>
      <c r="C39" t="s">
        <v>51</v>
      </c>
      <c r="D39" t="s">
        <v>53</v>
      </c>
      <c r="E39">
        <f>E$1*A39</f>
        <v>25</v>
      </c>
    </row>
    <row r="40" spans="1:16" x14ac:dyDescent="0.35">
      <c r="A40" s="3">
        <v>4</v>
      </c>
      <c r="B40" t="s">
        <v>55</v>
      </c>
      <c r="C40" t="s">
        <v>54</v>
      </c>
      <c r="D40" t="s">
        <v>56</v>
      </c>
      <c r="E40">
        <f>E$1*A40</f>
        <v>100</v>
      </c>
    </row>
    <row r="41" spans="1:16" x14ac:dyDescent="0.35">
      <c r="A41" s="3">
        <v>2</v>
      </c>
      <c r="B41" t="s">
        <v>58</v>
      </c>
      <c r="C41" t="s">
        <v>57</v>
      </c>
      <c r="D41" t="s">
        <v>59</v>
      </c>
      <c r="E41">
        <f>E$1*A41</f>
        <v>50</v>
      </c>
    </row>
    <row r="42" spans="1:16" x14ac:dyDescent="0.35">
      <c r="A42" s="3">
        <v>1</v>
      </c>
      <c r="B42" t="s">
        <v>61</v>
      </c>
      <c r="C42" t="s">
        <v>60</v>
      </c>
      <c r="D42" t="s">
        <v>62</v>
      </c>
      <c r="E42">
        <f>E$1*A42</f>
        <v>25</v>
      </c>
    </row>
    <row r="43" spans="1:16" x14ac:dyDescent="0.35">
      <c r="A43" s="3">
        <v>1</v>
      </c>
      <c r="B43" t="s">
        <v>64</v>
      </c>
      <c r="C43" t="s">
        <v>63</v>
      </c>
      <c r="D43" t="s">
        <v>65</v>
      </c>
      <c r="E43">
        <f>E$1*A43</f>
        <v>25</v>
      </c>
      <c r="G43" s="4"/>
      <c r="H43" s="6"/>
      <c r="I43" s="4"/>
      <c r="J43" s="4"/>
      <c r="K43" s="4"/>
      <c r="L43" s="4"/>
      <c r="M43" s="6"/>
      <c r="N43" s="6"/>
      <c r="O43" s="7"/>
      <c r="P43" s="7"/>
    </row>
    <row r="44" spans="1:16" x14ac:dyDescent="0.35">
      <c r="A44" s="3">
        <v>1</v>
      </c>
      <c r="B44" t="s">
        <v>67</v>
      </c>
      <c r="C44" t="s">
        <v>66</v>
      </c>
      <c r="D44" t="s">
        <v>65</v>
      </c>
      <c r="E44">
        <f>E$1*A44</f>
        <v>25</v>
      </c>
    </row>
    <row r="45" spans="1:16" x14ac:dyDescent="0.35">
      <c r="A45" s="3">
        <v>1</v>
      </c>
      <c r="B45" t="s">
        <v>69</v>
      </c>
      <c r="C45" t="s">
        <v>68</v>
      </c>
      <c r="D45" t="s">
        <v>70</v>
      </c>
      <c r="E45">
        <f>E$1*A45</f>
        <v>25</v>
      </c>
    </row>
    <row r="46" spans="1:16" x14ac:dyDescent="0.35">
      <c r="A46" s="3">
        <v>1</v>
      </c>
      <c r="B46" t="s">
        <v>72</v>
      </c>
      <c r="C46" t="s">
        <v>71</v>
      </c>
      <c r="D46" t="s">
        <v>73</v>
      </c>
      <c r="E46">
        <f>E$1*A46</f>
        <v>25</v>
      </c>
    </row>
    <row r="47" spans="1:16" x14ac:dyDescent="0.35">
      <c r="A47" s="3">
        <v>1</v>
      </c>
      <c r="B47" t="s">
        <v>75</v>
      </c>
      <c r="C47" t="s">
        <v>74</v>
      </c>
      <c r="D47" t="s">
        <v>44</v>
      </c>
      <c r="E47">
        <f>E$1*A47</f>
        <v>25</v>
      </c>
    </row>
    <row r="48" spans="1:16" x14ac:dyDescent="0.35">
      <c r="A48" s="3">
        <v>1</v>
      </c>
      <c r="B48" t="s">
        <v>77</v>
      </c>
      <c r="C48" t="s">
        <v>76</v>
      </c>
      <c r="D48" t="s">
        <v>78</v>
      </c>
      <c r="E48">
        <f>E$1*A48</f>
        <v>25</v>
      </c>
    </row>
    <row r="49" spans="1:16" x14ac:dyDescent="0.35">
      <c r="A49" s="3">
        <v>1</v>
      </c>
      <c r="B49" t="s">
        <v>80</v>
      </c>
      <c r="C49" t="s">
        <v>79</v>
      </c>
      <c r="D49" t="s">
        <v>78</v>
      </c>
      <c r="E49">
        <f>E$1*A49</f>
        <v>25</v>
      </c>
      <c r="G49" s="4"/>
      <c r="H49" s="6"/>
      <c r="I49" s="4"/>
      <c r="J49" s="4"/>
      <c r="K49" s="4"/>
      <c r="L49" s="4"/>
      <c r="M49" s="6"/>
      <c r="N49" s="6"/>
      <c r="O49" s="7"/>
      <c r="P49" s="7"/>
    </row>
    <row r="50" spans="1:16" x14ac:dyDescent="0.35">
      <c r="A50" s="3">
        <v>1</v>
      </c>
      <c r="B50" t="s">
        <v>82</v>
      </c>
      <c r="C50" t="s">
        <v>81</v>
      </c>
      <c r="D50" t="s">
        <v>78</v>
      </c>
      <c r="E50">
        <f>E$1*A50</f>
        <v>25</v>
      </c>
    </row>
    <row r="51" spans="1:16" x14ac:dyDescent="0.35">
      <c r="A51" s="3">
        <v>1</v>
      </c>
      <c r="B51" t="s">
        <v>84</v>
      </c>
      <c r="C51" t="s">
        <v>83</v>
      </c>
      <c r="D51" t="s">
        <v>78</v>
      </c>
      <c r="E51">
        <f>E$1*A51</f>
        <v>25</v>
      </c>
    </row>
    <row r="52" spans="1:16" x14ac:dyDescent="0.35">
      <c r="A52" s="3">
        <v>1</v>
      </c>
      <c r="B52" t="s">
        <v>86</v>
      </c>
      <c r="C52" t="s">
        <v>85</v>
      </c>
      <c r="D52" t="s">
        <v>78</v>
      </c>
      <c r="E52">
        <f>E$1*A52</f>
        <v>25</v>
      </c>
    </row>
    <row r="53" spans="1:16" x14ac:dyDescent="0.35">
      <c r="A53" s="3">
        <v>1</v>
      </c>
      <c r="B53" t="s">
        <v>88</v>
      </c>
      <c r="C53" t="s">
        <v>87</v>
      </c>
      <c r="D53" t="s">
        <v>78</v>
      </c>
      <c r="E53">
        <f>E$1*A53</f>
        <v>25</v>
      </c>
      <c r="G53" s="4"/>
      <c r="H53" s="6"/>
      <c r="I53" s="4"/>
      <c r="J53" s="4"/>
      <c r="K53" s="4"/>
      <c r="L53" s="4"/>
      <c r="M53" s="6"/>
      <c r="N53" s="6"/>
      <c r="O53" s="5"/>
      <c r="P53" s="5"/>
    </row>
    <row r="54" spans="1:16" x14ac:dyDescent="0.35">
      <c r="A54" s="3">
        <v>1</v>
      </c>
      <c r="B54" t="s">
        <v>90</v>
      </c>
      <c r="C54" t="s">
        <v>89</v>
      </c>
      <c r="D54" t="s">
        <v>78</v>
      </c>
      <c r="E54">
        <f>E$1*A54</f>
        <v>25</v>
      </c>
      <c r="G54" s="4"/>
      <c r="H54" s="6"/>
      <c r="I54" s="4"/>
      <c r="J54" s="4"/>
      <c r="K54" s="4"/>
      <c r="L54" s="4"/>
      <c r="M54" s="6"/>
      <c r="N54" s="6"/>
      <c r="O54" s="5"/>
      <c r="P54" s="5"/>
    </row>
    <row r="55" spans="1:16" x14ac:dyDescent="0.35">
      <c r="G55" s="4"/>
      <c r="H55" s="6"/>
      <c r="I55" s="4"/>
      <c r="J55" s="4"/>
      <c r="K55" s="4"/>
      <c r="L55" s="4"/>
      <c r="M55" s="6"/>
      <c r="N55" s="6"/>
      <c r="O55" s="7"/>
      <c r="P55" s="7"/>
    </row>
    <row r="56" spans="1:16" x14ac:dyDescent="0.35">
      <c r="B56" t="s">
        <v>124</v>
      </c>
      <c r="C56" t="s">
        <v>123</v>
      </c>
      <c r="D56" t="s">
        <v>122</v>
      </c>
      <c r="E56">
        <f>E$1*A56</f>
        <v>0</v>
      </c>
    </row>
    <row r="57" spans="1:16" x14ac:dyDescent="0.35">
      <c r="B57" t="s">
        <v>126</v>
      </c>
      <c r="C57" t="s">
        <v>125</v>
      </c>
      <c r="D57" t="s">
        <v>122</v>
      </c>
      <c r="E57">
        <f>E$1*A57</f>
        <v>0</v>
      </c>
    </row>
    <row r="58" spans="1:16" x14ac:dyDescent="0.35">
      <c r="G58" s="4"/>
      <c r="H58" s="6"/>
      <c r="I58" s="4"/>
      <c r="J58" s="4"/>
      <c r="K58" s="4"/>
      <c r="L58" s="4"/>
      <c r="M58" s="6"/>
      <c r="N58" s="6"/>
      <c r="O58" s="7"/>
      <c r="P58" s="7"/>
    </row>
    <row r="59" spans="1:16" x14ac:dyDescent="0.35">
      <c r="E59">
        <f>E$1*A59</f>
        <v>0</v>
      </c>
      <c r="G59" s="4" t="s">
        <v>215</v>
      </c>
      <c r="H59" s="6" t="s">
        <v>214</v>
      </c>
      <c r="I59" s="4" t="s">
        <v>213</v>
      </c>
      <c r="J59" s="4" t="s">
        <v>212</v>
      </c>
      <c r="K59" s="4"/>
      <c r="L59" s="4">
        <v>10</v>
      </c>
      <c r="M59" s="6" t="s">
        <v>211</v>
      </c>
      <c r="N59" s="6" t="s">
        <v>210</v>
      </c>
      <c r="O59" s="7"/>
      <c r="P59" s="7"/>
    </row>
    <row r="61" spans="1:16" x14ac:dyDescent="0.35">
      <c r="G61" s="4" t="s">
        <v>281</v>
      </c>
      <c r="H61" s="6" t="s">
        <v>280</v>
      </c>
      <c r="I61" s="4" t="s">
        <v>224</v>
      </c>
      <c r="J61" s="4" t="s">
        <v>279</v>
      </c>
      <c r="K61" s="4"/>
      <c r="L61" s="4">
        <v>20</v>
      </c>
      <c r="M61" s="6" t="s">
        <v>278</v>
      </c>
      <c r="N61" s="6" t="s">
        <v>277</v>
      </c>
      <c r="O61" s="7"/>
      <c r="P61" s="7"/>
    </row>
    <row r="63" spans="1:16" x14ac:dyDescent="0.35">
      <c r="G63" s="4" t="s">
        <v>311</v>
      </c>
      <c r="H63" s="6" t="s">
        <v>310</v>
      </c>
      <c r="I63" s="4" t="s">
        <v>309</v>
      </c>
      <c r="J63" s="4" t="s">
        <v>308</v>
      </c>
      <c r="K63" s="4" t="s">
        <v>195</v>
      </c>
      <c r="L63" s="4">
        <v>10</v>
      </c>
      <c r="M63" s="6" t="s">
        <v>307</v>
      </c>
      <c r="N63" s="6" t="s">
        <v>306</v>
      </c>
      <c r="O63" s="7"/>
      <c r="P63" s="7"/>
    </row>
    <row r="64" spans="1:16" x14ac:dyDescent="0.35">
      <c r="G64" s="4" t="s">
        <v>271</v>
      </c>
      <c r="H64" s="6" t="s">
        <v>270</v>
      </c>
      <c r="I64" s="4" t="s">
        <v>208</v>
      </c>
      <c r="J64" s="4" t="s">
        <v>269</v>
      </c>
      <c r="K64" s="4"/>
      <c r="L64" s="4">
        <v>10</v>
      </c>
      <c r="M64" s="6" t="s">
        <v>268</v>
      </c>
      <c r="N64" s="6" t="s">
        <v>267</v>
      </c>
      <c r="O64" s="7"/>
      <c r="P64" s="7"/>
    </row>
  </sheetData>
  <pageMargins left="0.25" right="0.25" top="0.75" bottom="0.75" header="0.3" footer="0.3"/>
  <pageSetup scale="43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4991-A4C9-4DD6-931A-645E33C888B9}">
  <dimension ref="A1:E29"/>
  <sheetViews>
    <sheetView tabSelected="1" workbookViewId="0">
      <selection activeCell="B3" sqref="B3"/>
    </sheetView>
  </sheetViews>
  <sheetFormatPr defaultRowHeight="14.5" x14ac:dyDescent="0.35"/>
  <cols>
    <col min="2" max="2" width="23.90625" customWidth="1"/>
  </cols>
  <sheetData>
    <row r="1" spans="1:5" x14ac:dyDescent="0.35">
      <c r="A1" s="1" t="s">
        <v>336</v>
      </c>
      <c r="B1" s="9" t="s">
        <v>332</v>
      </c>
      <c r="C1" s="9" t="s">
        <v>331</v>
      </c>
      <c r="D1" s="9" t="s">
        <v>330</v>
      </c>
      <c r="E1" s="9" t="s">
        <v>329</v>
      </c>
    </row>
    <row r="2" spans="1:5" x14ac:dyDescent="0.35">
      <c r="A2">
        <v>100</v>
      </c>
      <c r="B2" s="11" t="s">
        <v>113</v>
      </c>
    </row>
    <row r="3" spans="1:5" x14ac:dyDescent="0.35">
      <c r="A3">
        <v>50</v>
      </c>
      <c r="B3" s="4" t="s">
        <v>247</v>
      </c>
      <c r="C3" s="6" t="s">
        <v>246</v>
      </c>
      <c r="D3" s="4" t="s">
        <v>245</v>
      </c>
      <c r="E3" s="4" t="s">
        <v>244</v>
      </c>
    </row>
    <row r="4" spans="1:5" x14ac:dyDescent="0.35">
      <c r="A4">
        <v>100</v>
      </c>
      <c r="B4" s="4" t="s">
        <v>236</v>
      </c>
      <c r="C4" s="6" t="s">
        <v>235</v>
      </c>
      <c r="D4" s="4" t="s">
        <v>179</v>
      </c>
      <c r="E4" s="4" t="s">
        <v>234</v>
      </c>
    </row>
    <row r="5" spans="1:5" x14ac:dyDescent="0.35">
      <c r="A5">
        <v>100</v>
      </c>
      <c r="B5" s="11" t="s">
        <v>107</v>
      </c>
    </row>
    <row r="6" spans="1:5" x14ac:dyDescent="0.35">
      <c r="A6">
        <v>50</v>
      </c>
      <c r="B6" s="4" t="s">
        <v>252</v>
      </c>
      <c r="C6" s="6" t="s">
        <v>25</v>
      </c>
      <c r="D6" s="4" t="s">
        <v>251</v>
      </c>
      <c r="E6" s="4" t="s">
        <v>250</v>
      </c>
    </row>
    <row r="7" spans="1:5" x14ac:dyDescent="0.35">
      <c r="A7">
        <v>25</v>
      </c>
      <c r="B7" s="4" t="s">
        <v>316</v>
      </c>
      <c r="C7" s="6" t="s">
        <v>315</v>
      </c>
      <c r="D7" s="4" t="s">
        <v>170</v>
      </c>
      <c r="E7" s="4" t="s">
        <v>314</v>
      </c>
    </row>
    <row r="8" spans="1:5" x14ac:dyDescent="0.35">
      <c r="A8">
        <v>25</v>
      </c>
      <c r="B8" s="4" t="s">
        <v>175</v>
      </c>
      <c r="C8" s="6" t="s">
        <v>34</v>
      </c>
      <c r="D8" s="4" t="s">
        <v>170</v>
      </c>
      <c r="E8" s="4" t="s">
        <v>169</v>
      </c>
    </row>
    <row r="9" spans="1:5" x14ac:dyDescent="0.35">
      <c r="A9">
        <v>25</v>
      </c>
      <c r="B9" s="4" t="s">
        <v>209</v>
      </c>
      <c r="C9" s="6" t="s">
        <v>28</v>
      </c>
      <c r="D9" s="4" t="s">
        <v>208</v>
      </c>
      <c r="E9" s="4" t="s">
        <v>207</v>
      </c>
    </row>
    <row r="10" spans="1:5" x14ac:dyDescent="0.35">
      <c r="A10">
        <v>25</v>
      </c>
      <c r="B10" s="4" t="s">
        <v>305</v>
      </c>
      <c r="C10" s="6" t="s">
        <v>92</v>
      </c>
      <c r="D10" s="4" t="s">
        <v>300</v>
      </c>
      <c r="E10" s="4" t="s">
        <v>304</v>
      </c>
    </row>
    <row r="11" spans="1:5" x14ac:dyDescent="0.35">
      <c r="A11">
        <v>25</v>
      </c>
      <c r="B11" s="4" t="s">
        <v>301</v>
      </c>
      <c r="C11" s="6" t="s">
        <v>95</v>
      </c>
      <c r="D11" s="4" t="s">
        <v>300</v>
      </c>
      <c r="E11" s="4" t="s">
        <v>299</v>
      </c>
    </row>
    <row r="12" spans="1:5" x14ac:dyDescent="0.35">
      <c r="A12">
        <v>25</v>
      </c>
      <c r="B12" s="4" t="s">
        <v>286</v>
      </c>
      <c r="C12" s="6" t="s">
        <v>285</v>
      </c>
      <c r="D12" s="4" t="s">
        <v>213</v>
      </c>
      <c r="E12" s="4" t="s">
        <v>284</v>
      </c>
    </row>
    <row r="13" spans="1:5" x14ac:dyDescent="0.35">
      <c r="A13">
        <v>50</v>
      </c>
      <c r="B13" s="4" t="s">
        <v>291</v>
      </c>
      <c r="C13" s="6" t="s">
        <v>290</v>
      </c>
      <c r="D13" s="4" t="s">
        <v>213</v>
      </c>
      <c r="E13" s="4" t="s">
        <v>289</v>
      </c>
    </row>
    <row r="14" spans="1:5" x14ac:dyDescent="0.35">
      <c r="A14">
        <v>25</v>
      </c>
      <c r="B14" s="4" t="s">
        <v>296</v>
      </c>
      <c r="C14" s="6" t="s">
        <v>295</v>
      </c>
      <c r="D14" s="4" t="s">
        <v>213</v>
      </c>
      <c r="E14" s="4" t="s">
        <v>294</v>
      </c>
    </row>
    <row r="15" spans="1:5" x14ac:dyDescent="0.35">
      <c r="A15">
        <v>26</v>
      </c>
      <c r="B15" s="4" t="s">
        <v>266</v>
      </c>
      <c r="C15" s="6" t="s">
        <v>265</v>
      </c>
      <c r="D15" s="4" t="s">
        <v>264</v>
      </c>
      <c r="E15" s="4" t="s">
        <v>263</v>
      </c>
    </row>
    <row r="16" spans="1:5" x14ac:dyDescent="0.35">
      <c r="A16">
        <v>100</v>
      </c>
      <c r="B16" s="4" t="s">
        <v>276</v>
      </c>
      <c r="C16" s="6" t="s">
        <v>275</v>
      </c>
      <c r="D16" s="4" t="s">
        <v>185</v>
      </c>
      <c r="E16" s="4" t="s">
        <v>274</v>
      </c>
    </row>
    <row r="17" spans="1:5" x14ac:dyDescent="0.35">
      <c r="A17">
        <v>25</v>
      </c>
      <c r="B17" s="4" t="s">
        <v>241</v>
      </c>
      <c r="C17" s="6" t="s">
        <v>240</v>
      </c>
      <c r="D17" s="4" t="s">
        <v>139</v>
      </c>
      <c r="E17" s="4" t="s">
        <v>239</v>
      </c>
    </row>
    <row r="18" spans="1:5" x14ac:dyDescent="0.35">
      <c r="A18">
        <v>5</v>
      </c>
    </row>
    <row r="19" spans="1:5" x14ac:dyDescent="0.35">
      <c r="B19" s="4" t="s">
        <v>135</v>
      </c>
      <c r="C19" s="6" t="s">
        <v>134</v>
      </c>
      <c r="D19" s="4" t="s">
        <v>133</v>
      </c>
      <c r="E19" s="4" t="s">
        <v>132</v>
      </c>
    </row>
    <row r="20" spans="1:5" x14ac:dyDescent="0.35">
      <c r="B20" s="4" t="s">
        <v>231</v>
      </c>
      <c r="C20" s="6" t="s">
        <v>230</v>
      </c>
      <c r="D20" s="4" t="s">
        <v>179</v>
      </c>
      <c r="E20" s="4" t="s">
        <v>229</v>
      </c>
    </row>
    <row r="21" spans="1:5" x14ac:dyDescent="0.35">
      <c r="B21" s="4" t="s">
        <v>187</v>
      </c>
      <c r="C21" s="6" t="s">
        <v>186</v>
      </c>
      <c r="D21" s="4" t="s">
        <v>185</v>
      </c>
      <c r="E21" s="4" t="s">
        <v>184</v>
      </c>
    </row>
    <row r="22" spans="1:5" x14ac:dyDescent="0.35">
      <c r="B22" s="4" t="s">
        <v>181</v>
      </c>
      <c r="C22" s="6" t="s">
        <v>180</v>
      </c>
      <c r="D22" s="4" t="s">
        <v>179</v>
      </c>
      <c r="E22" s="4" t="s">
        <v>178</v>
      </c>
    </row>
    <row r="23" spans="1:5" x14ac:dyDescent="0.35">
      <c r="B23" s="4" t="s">
        <v>255</v>
      </c>
      <c r="C23" s="6" t="s">
        <v>17</v>
      </c>
      <c r="D23" s="4" t="s">
        <v>254</v>
      </c>
      <c r="E23" s="4" t="s">
        <v>253</v>
      </c>
    </row>
    <row r="24" spans="1:5" x14ac:dyDescent="0.35">
      <c r="B24" s="4" t="s">
        <v>199</v>
      </c>
      <c r="C24" s="6" t="s">
        <v>198</v>
      </c>
      <c r="D24" s="4" t="s">
        <v>197</v>
      </c>
      <c r="E24" s="4" t="s">
        <v>196</v>
      </c>
    </row>
    <row r="25" spans="1:5" x14ac:dyDescent="0.35">
      <c r="B25" s="4" t="s">
        <v>260</v>
      </c>
      <c r="C25" s="6" t="s">
        <v>97</v>
      </c>
      <c r="D25" s="4" t="s">
        <v>259</v>
      </c>
      <c r="E25" s="4" t="s">
        <v>258</v>
      </c>
    </row>
    <row r="26" spans="1:5" x14ac:dyDescent="0.35">
      <c r="B26" s="4" t="s">
        <v>161</v>
      </c>
      <c r="C26" s="6" t="s">
        <v>160</v>
      </c>
      <c r="D26" s="4" t="s">
        <v>154</v>
      </c>
      <c r="E26" s="4" t="s">
        <v>159</v>
      </c>
    </row>
    <row r="27" spans="1:5" x14ac:dyDescent="0.35">
      <c r="B27" s="4" t="s">
        <v>166</v>
      </c>
      <c r="C27" s="6" t="s">
        <v>165</v>
      </c>
      <c r="D27" s="4" t="s">
        <v>154</v>
      </c>
      <c r="E27" s="4" t="s">
        <v>164</v>
      </c>
    </row>
    <row r="28" spans="1:5" x14ac:dyDescent="0.35">
      <c r="B28" s="4" t="s">
        <v>220</v>
      </c>
      <c r="C28" s="6" t="s">
        <v>219</v>
      </c>
      <c r="D28" s="4" t="s">
        <v>154</v>
      </c>
      <c r="E28" s="4" t="s">
        <v>218</v>
      </c>
    </row>
    <row r="29" spans="1:5" x14ac:dyDescent="0.35">
      <c r="B29" s="4" t="s">
        <v>156</v>
      </c>
      <c r="C29" s="6" t="s">
        <v>155</v>
      </c>
      <c r="D29" s="4" t="s">
        <v>154</v>
      </c>
      <c r="E29" s="4" t="s">
        <v>153</v>
      </c>
    </row>
  </sheetData>
  <sortState xmlns:xlrd2="http://schemas.microsoft.com/office/spreadsheetml/2017/richdata2" ref="A2:E18">
    <sortCondition ref="B2:B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3CE9-419A-4B16-8C2C-04EE1802AE11}">
  <dimension ref="A6:J44"/>
  <sheetViews>
    <sheetView workbookViewId="0">
      <selection activeCell="A7" sqref="A7:J44"/>
    </sheetView>
  </sheetViews>
  <sheetFormatPr defaultRowHeight="14.5" x14ac:dyDescent="0.35"/>
  <cols>
    <col min="1" max="1" width="30.81640625" style="4" customWidth="1"/>
    <col min="2" max="3" width="23.453125" style="4" bestFit="1" customWidth="1"/>
    <col min="4" max="4" width="78" style="4" bestFit="1" customWidth="1"/>
    <col min="5" max="5" width="8" style="4" bestFit="1" customWidth="1"/>
    <col min="6" max="6" width="9.7265625" style="4" bestFit="1" customWidth="1"/>
    <col min="7" max="7" width="10.1796875" style="4" bestFit="1" customWidth="1"/>
    <col min="8" max="8" width="9.7265625" style="4" bestFit="1" customWidth="1"/>
    <col min="9" max="9" width="23.7265625" style="4" bestFit="1" customWidth="1"/>
    <col min="10" max="10" width="22.7265625" style="4" bestFit="1" customWidth="1"/>
    <col min="11" max="16384" width="8.7265625" style="4"/>
  </cols>
  <sheetData>
    <row r="6" spans="1:10" x14ac:dyDescent="0.35">
      <c r="A6" s="10" t="s">
        <v>333</v>
      </c>
    </row>
    <row r="7" spans="1:10" x14ac:dyDescent="0.35">
      <c r="A7" s="9" t="s">
        <v>332</v>
      </c>
      <c r="B7" s="9" t="s">
        <v>331</v>
      </c>
      <c r="C7" s="9" t="s">
        <v>330</v>
      </c>
      <c r="D7" s="9" t="s">
        <v>329</v>
      </c>
      <c r="E7" s="9" t="s">
        <v>328</v>
      </c>
      <c r="F7" s="9" t="s">
        <v>327</v>
      </c>
      <c r="G7" s="9" t="s">
        <v>326</v>
      </c>
      <c r="H7" s="9" t="s">
        <v>325</v>
      </c>
      <c r="I7" s="8" t="s">
        <v>324</v>
      </c>
      <c r="J7" s="8" t="s">
        <v>323</v>
      </c>
    </row>
    <row r="8" spans="1:10" x14ac:dyDescent="0.35">
      <c r="A8" s="4" t="s">
        <v>322</v>
      </c>
      <c r="B8" s="6" t="s">
        <v>321</v>
      </c>
      <c r="C8" s="4" t="s">
        <v>320</v>
      </c>
      <c r="D8" s="4" t="s">
        <v>319</v>
      </c>
      <c r="E8" s="4" t="s">
        <v>195</v>
      </c>
      <c r="F8" s="4">
        <v>10</v>
      </c>
      <c r="G8" s="6" t="s">
        <v>318</v>
      </c>
      <c r="H8" s="6" t="s">
        <v>317</v>
      </c>
      <c r="I8" s="7"/>
      <c r="J8" s="7"/>
    </row>
    <row r="9" spans="1:10" x14ac:dyDescent="0.35">
      <c r="A9" s="4" t="s">
        <v>316</v>
      </c>
      <c r="B9" s="6" t="s">
        <v>315</v>
      </c>
      <c r="C9" s="4" t="s">
        <v>170</v>
      </c>
      <c r="D9" s="4" t="s">
        <v>314</v>
      </c>
      <c r="F9" s="4">
        <v>10</v>
      </c>
      <c r="G9" s="6" t="s">
        <v>313</v>
      </c>
      <c r="H9" s="6" t="s">
        <v>312</v>
      </c>
      <c r="I9" s="7"/>
      <c r="J9" s="7"/>
    </row>
    <row r="10" spans="1:10" x14ac:dyDescent="0.35">
      <c r="A10" s="4" t="s">
        <v>311</v>
      </c>
      <c r="B10" s="6" t="s">
        <v>310</v>
      </c>
      <c r="C10" s="4" t="s">
        <v>309</v>
      </c>
      <c r="D10" s="4" t="s">
        <v>308</v>
      </c>
      <c r="E10" s="4" t="s">
        <v>195</v>
      </c>
      <c r="F10" s="4">
        <v>10</v>
      </c>
      <c r="G10" s="6" t="s">
        <v>307</v>
      </c>
      <c r="H10" s="6" t="s">
        <v>306</v>
      </c>
      <c r="I10" s="7"/>
      <c r="J10" s="7"/>
    </row>
    <row r="11" spans="1:10" x14ac:dyDescent="0.35">
      <c r="A11" s="4" t="s">
        <v>305</v>
      </c>
      <c r="B11" s="6" t="s">
        <v>92</v>
      </c>
      <c r="C11" s="4" t="s">
        <v>300</v>
      </c>
      <c r="D11" s="4" t="s">
        <v>304</v>
      </c>
      <c r="F11" s="4">
        <v>10</v>
      </c>
      <c r="G11" s="6" t="s">
        <v>303</v>
      </c>
      <c r="H11" s="6" t="s">
        <v>302</v>
      </c>
      <c r="I11" s="5">
        <v>0.05</v>
      </c>
      <c r="J11" s="5">
        <v>0.5</v>
      </c>
    </row>
    <row r="12" spans="1:10" x14ac:dyDescent="0.35">
      <c r="A12" s="4" t="s">
        <v>301</v>
      </c>
      <c r="B12" s="6" t="s">
        <v>95</v>
      </c>
      <c r="C12" s="4" t="s">
        <v>300</v>
      </c>
      <c r="D12" s="4" t="s">
        <v>299</v>
      </c>
      <c r="F12" s="4">
        <v>10</v>
      </c>
      <c r="G12" s="6" t="s">
        <v>298</v>
      </c>
      <c r="H12" s="6" t="s">
        <v>297</v>
      </c>
      <c r="I12" s="5">
        <v>0.05</v>
      </c>
      <c r="J12" s="5">
        <v>0.54</v>
      </c>
    </row>
    <row r="13" spans="1:10" x14ac:dyDescent="0.35">
      <c r="A13" s="4" t="s">
        <v>296</v>
      </c>
      <c r="B13" s="6" t="s">
        <v>295</v>
      </c>
      <c r="C13" s="4" t="s">
        <v>213</v>
      </c>
      <c r="D13" s="4" t="s">
        <v>294</v>
      </c>
      <c r="F13" s="4">
        <v>10</v>
      </c>
      <c r="G13" s="6" t="s">
        <v>293</v>
      </c>
      <c r="H13" s="6" t="s">
        <v>292</v>
      </c>
      <c r="I13" s="7"/>
      <c r="J13" s="7"/>
    </row>
    <row r="14" spans="1:10" x14ac:dyDescent="0.35">
      <c r="A14" s="4" t="s">
        <v>291</v>
      </c>
      <c r="B14" s="6" t="s">
        <v>290</v>
      </c>
      <c r="C14" s="4" t="s">
        <v>213</v>
      </c>
      <c r="D14" s="4" t="s">
        <v>289</v>
      </c>
      <c r="F14" s="4">
        <v>20</v>
      </c>
      <c r="G14" s="6" t="s">
        <v>288</v>
      </c>
      <c r="H14" s="6" t="s">
        <v>287</v>
      </c>
      <c r="I14" s="7"/>
      <c r="J14" s="7"/>
    </row>
    <row r="15" spans="1:10" x14ac:dyDescent="0.35">
      <c r="A15" s="4" t="s">
        <v>286</v>
      </c>
      <c r="B15" s="6" t="s">
        <v>285</v>
      </c>
      <c r="C15" s="4" t="s">
        <v>213</v>
      </c>
      <c r="D15" s="4" t="s">
        <v>284</v>
      </c>
      <c r="F15" s="4">
        <v>10</v>
      </c>
      <c r="G15" s="6" t="s">
        <v>283</v>
      </c>
      <c r="H15" s="6" t="s">
        <v>282</v>
      </c>
      <c r="I15" s="7"/>
      <c r="J15" s="7"/>
    </row>
    <row r="16" spans="1:10" x14ac:dyDescent="0.35">
      <c r="A16" s="4" t="s">
        <v>281</v>
      </c>
      <c r="B16" s="6" t="s">
        <v>280</v>
      </c>
      <c r="C16" s="4" t="s">
        <v>224</v>
      </c>
      <c r="D16" s="4" t="s">
        <v>279</v>
      </c>
      <c r="F16" s="4">
        <v>20</v>
      </c>
      <c r="G16" s="6" t="s">
        <v>278</v>
      </c>
      <c r="H16" s="6" t="s">
        <v>277</v>
      </c>
      <c r="I16" s="7"/>
      <c r="J16" s="7"/>
    </row>
    <row r="17" spans="1:10" x14ac:dyDescent="0.35">
      <c r="A17" s="4" t="s">
        <v>276</v>
      </c>
      <c r="B17" s="6" t="s">
        <v>275</v>
      </c>
      <c r="C17" s="4" t="s">
        <v>185</v>
      </c>
      <c r="D17" s="4" t="s">
        <v>274</v>
      </c>
      <c r="F17" s="4">
        <v>60</v>
      </c>
      <c r="G17" s="6" t="s">
        <v>273</v>
      </c>
      <c r="H17" s="6" t="s">
        <v>272</v>
      </c>
      <c r="I17" s="7"/>
      <c r="J17" s="7"/>
    </row>
    <row r="18" spans="1:10" x14ac:dyDescent="0.35">
      <c r="A18" s="4" t="s">
        <v>271</v>
      </c>
      <c r="B18" s="6" t="s">
        <v>270</v>
      </c>
      <c r="C18" s="4" t="s">
        <v>208</v>
      </c>
      <c r="D18" s="4" t="s">
        <v>269</v>
      </c>
      <c r="F18" s="4">
        <v>10</v>
      </c>
      <c r="G18" s="6" t="s">
        <v>268</v>
      </c>
      <c r="H18" s="6" t="s">
        <v>267</v>
      </c>
      <c r="I18" s="7"/>
      <c r="J18" s="7"/>
    </row>
    <row r="19" spans="1:10" x14ac:dyDescent="0.35">
      <c r="A19" s="4" t="s">
        <v>266</v>
      </c>
      <c r="B19" s="6" t="s">
        <v>265</v>
      </c>
      <c r="C19" s="4" t="s">
        <v>264</v>
      </c>
      <c r="D19" s="4" t="s">
        <v>263</v>
      </c>
      <c r="F19" s="4">
        <v>26</v>
      </c>
      <c r="G19" s="6" t="s">
        <v>262</v>
      </c>
      <c r="H19" s="6" t="s">
        <v>261</v>
      </c>
      <c r="I19" s="5">
        <v>0.04</v>
      </c>
      <c r="J19" s="5">
        <v>1.1200000000000001</v>
      </c>
    </row>
    <row r="20" spans="1:10" x14ac:dyDescent="0.35">
      <c r="A20" s="4" t="s">
        <v>260</v>
      </c>
      <c r="B20" s="6" t="s">
        <v>97</v>
      </c>
      <c r="C20" s="4" t="s">
        <v>259</v>
      </c>
      <c r="D20" s="4" t="s">
        <v>258</v>
      </c>
      <c r="F20" s="4">
        <v>50</v>
      </c>
      <c r="G20" s="6" t="s">
        <v>257</v>
      </c>
      <c r="H20" s="6" t="s">
        <v>256</v>
      </c>
      <c r="I20" s="5">
        <v>0.06</v>
      </c>
      <c r="J20" s="5">
        <v>3.1</v>
      </c>
    </row>
    <row r="21" spans="1:10" x14ac:dyDescent="0.35">
      <c r="A21" s="4" t="s">
        <v>255</v>
      </c>
      <c r="B21" s="6" t="s">
        <v>17</v>
      </c>
      <c r="C21" s="4" t="s">
        <v>254</v>
      </c>
      <c r="D21" s="4" t="s">
        <v>253</v>
      </c>
      <c r="F21" s="4">
        <v>100</v>
      </c>
      <c r="G21" s="6" t="s">
        <v>228</v>
      </c>
      <c r="H21" s="6" t="s">
        <v>227</v>
      </c>
      <c r="I21" s="5">
        <v>0.02</v>
      </c>
      <c r="J21" s="5">
        <v>2.2999999999999998</v>
      </c>
    </row>
    <row r="22" spans="1:10" x14ac:dyDescent="0.35">
      <c r="A22" s="4" t="s">
        <v>252</v>
      </c>
      <c r="B22" s="6" t="s">
        <v>25</v>
      </c>
      <c r="C22" s="4" t="s">
        <v>251</v>
      </c>
      <c r="D22" s="4" t="s">
        <v>250</v>
      </c>
      <c r="F22" s="4">
        <v>20</v>
      </c>
      <c r="G22" s="6" t="s">
        <v>249</v>
      </c>
      <c r="H22" s="6" t="s">
        <v>248</v>
      </c>
      <c r="I22" s="5">
        <v>0.02</v>
      </c>
      <c r="J22" s="5">
        <v>0.38</v>
      </c>
    </row>
    <row r="23" spans="1:10" x14ac:dyDescent="0.35">
      <c r="A23" s="4" t="s">
        <v>247</v>
      </c>
      <c r="B23" s="6" t="s">
        <v>246</v>
      </c>
      <c r="C23" s="4" t="s">
        <v>245</v>
      </c>
      <c r="D23" s="4" t="s">
        <v>244</v>
      </c>
      <c r="F23" s="4">
        <v>50</v>
      </c>
      <c r="G23" s="6" t="s">
        <v>243</v>
      </c>
      <c r="H23" s="6" t="s">
        <v>242</v>
      </c>
      <c r="I23" s="5">
        <v>0.03</v>
      </c>
      <c r="J23" s="5">
        <v>1.65</v>
      </c>
    </row>
    <row r="24" spans="1:10" x14ac:dyDescent="0.35">
      <c r="A24" s="4" t="s">
        <v>241</v>
      </c>
      <c r="B24" s="6" t="s">
        <v>240</v>
      </c>
      <c r="C24" s="4" t="s">
        <v>139</v>
      </c>
      <c r="D24" s="4" t="s">
        <v>239</v>
      </c>
      <c r="F24" s="4">
        <v>10</v>
      </c>
      <c r="G24" s="6" t="s">
        <v>238</v>
      </c>
      <c r="H24" s="6" t="s">
        <v>237</v>
      </c>
      <c r="I24" s="5">
        <v>0.19</v>
      </c>
      <c r="J24" s="5">
        <v>1.86</v>
      </c>
    </row>
    <row r="25" spans="1:10" x14ac:dyDescent="0.35">
      <c r="A25" s="4" t="s">
        <v>236</v>
      </c>
      <c r="B25" s="6" t="s">
        <v>235</v>
      </c>
      <c r="C25" s="4" t="s">
        <v>179</v>
      </c>
      <c r="D25" s="4" t="s">
        <v>234</v>
      </c>
      <c r="F25" s="4">
        <v>100</v>
      </c>
      <c r="G25" s="6" t="s">
        <v>233</v>
      </c>
      <c r="H25" s="6" t="s">
        <v>232</v>
      </c>
      <c r="I25" s="5">
        <v>0.01</v>
      </c>
      <c r="J25" s="5">
        <v>1.3</v>
      </c>
    </row>
    <row r="26" spans="1:10" x14ac:dyDescent="0.35">
      <c r="A26" s="4" t="s">
        <v>231</v>
      </c>
      <c r="B26" s="6" t="s">
        <v>230</v>
      </c>
      <c r="C26" s="4" t="s">
        <v>179</v>
      </c>
      <c r="D26" s="4" t="s">
        <v>229</v>
      </c>
      <c r="F26" s="4">
        <v>100</v>
      </c>
      <c r="G26" s="6" t="s">
        <v>228</v>
      </c>
      <c r="H26" s="6" t="s">
        <v>227</v>
      </c>
      <c r="I26" s="5">
        <v>0.01</v>
      </c>
      <c r="J26" s="5">
        <v>0.6</v>
      </c>
    </row>
    <row r="27" spans="1:10" x14ac:dyDescent="0.35">
      <c r="A27" s="4" t="s">
        <v>226</v>
      </c>
      <c r="B27" s="6" t="s">
        <v>225</v>
      </c>
      <c r="C27" s="4" t="s">
        <v>224</v>
      </c>
      <c r="D27" s="4" t="s">
        <v>223</v>
      </c>
      <c r="F27" s="4">
        <v>50</v>
      </c>
      <c r="G27" s="6" t="s">
        <v>222</v>
      </c>
      <c r="H27" s="6" t="s">
        <v>221</v>
      </c>
      <c r="I27" s="5">
        <v>7.0000000000000007E-2</v>
      </c>
      <c r="J27" s="5">
        <v>3.6</v>
      </c>
    </row>
    <row r="28" spans="1:10" x14ac:dyDescent="0.35">
      <c r="A28" s="4" t="s">
        <v>220</v>
      </c>
      <c r="B28" s="6" t="s">
        <v>219</v>
      </c>
      <c r="C28" s="4" t="s">
        <v>154</v>
      </c>
      <c r="D28" s="4" t="s">
        <v>218</v>
      </c>
      <c r="F28" s="4">
        <v>100</v>
      </c>
      <c r="G28" s="6" t="s">
        <v>217</v>
      </c>
      <c r="H28" s="6" t="s">
        <v>216</v>
      </c>
      <c r="I28" s="7"/>
      <c r="J28" s="7"/>
    </row>
    <row r="29" spans="1:10" x14ac:dyDescent="0.35">
      <c r="A29" s="4" t="s">
        <v>215</v>
      </c>
      <c r="B29" s="6" t="s">
        <v>214</v>
      </c>
      <c r="C29" s="4" t="s">
        <v>213</v>
      </c>
      <c r="D29" s="4" t="s">
        <v>212</v>
      </c>
      <c r="F29" s="4">
        <v>10</v>
      </c>
      <c r="G29" s="6" t="s">
        <v>211</v>
      </c>
      <c r="H29" s="6" t="s">
        <v>210</v>
      </c>
      <c r="I29" s="7"/>
      <c r="J29" s="7"/>
    </row>
    <row r="30" spans="1:10" x14ac:dyDescent="0.35">
      <c r="A30" s="4" t="s">
        <v>209</v>
      </c>
      <c r="B30" s="6" t="s">
        <v>28</v>
      </c>
      <c r="C30" s="4" t="s">
        <v>208</v>
      </c>
      <c r="D30" s="4" t="s">
        <v>207</v>
      </c>
      <c r="F30" s="4">
        <v>20</v>
      </c>
      <c r="G30" s="6" t="s">
        <v>206</v>
      </c>
      <c r="H30" s="6" t="s">
        <v>205</v>
      </c>
      <c r="I30" s="7"/>
      <c r="J30" s="7"/>
    </row>
    <row r="31" spans="1:10" x14ac:dyDescent="0.35">
      <c r="A31" s="4" t="s">
        <v>204</v>
      </c>
      <c r="B31" s="6" t="s">
        <v>203</v>
      </c>
      <c r="C31" s="4" t="s">
        <v>202</v>
      </c>
      <c r="D31" s="4" t="s">
        <v>201</v>
      </c>
      <c r="F31" s="4">
        <v>1</v>
      </c>
      <c r="G31" s="6" t="s">
        <v>200</v>
      </c>
      <c r="H31" s="6" t="s">
        <v>200</v>
      </c>
      <c r="I31" s="7"/>
      <c r="J31" s="7"/>
    </row>
    <row r="32" spans="1:10" x14ac:dyDescent="0.35">
      <c r="A32" s="4" t="s">
        <v>199</v>
      </c>
      <c r="B32" s="6" t="s">
        <v>198</v>
      </c>
      <c r="C32" s="4" t="s">
        <v>197</v>
      </c>
      <c r="D32" s="4" t="s">
        <v>196</v>
      </c>
      <c r="E32" s="4" t="s">
        <v>195</v>
      </c>
      <c r="F32" s="4">
        <v>10</v>
      </c>
      <c r="G32" s="6" t="s">
        <v>194</v>
      </c>
      <c r="H32" s="6" t="s">
        <v>193</v>
      </c>
      <c r="I32" s="7"/>
      <c r="J32" s="7"/>
    </row>
    <row r="33" spans="1:10" x14ac:dyDescent="0.35">
      <c r="A33" s="4" t="s">
        <v>192</v>
      </c>
      <c r="B33" s="6" t="s">
        <v>191</v>
      </c>
      <c r="C33" s="4" t="s">
        <v>170</v>
      </c>
      <c r="D33" s="4" t="s">
        <v>190</v>
      </c>
      <c r="F33" s="4">
        <v>5</v>
      </c>
      <c r="G33" s="6" t="s">
        <v>189</v>
      </c>
      <c r="H33" s="6" t="s">
        <v>188</v>
      </c>
      <c r="I33" s="7"/>
      <c r="J33" s="7"/>
    </row>
    <row r="34" spans="1:10" x14ac:dyDescent="0.35">
      <c r="A34" s="4" t="s">
        <v>187</v>
      </c>
      <c r="B34" s="6" t="s">
        <v>186</v>
      </c>
      <c r="C34" s="4" t="s">
        <v>185</v>
      </c>
      <c r="D34" s="4" t="s">
        <v>184</v>
      </c>
      <c r="F34" s="4">
        <v>100</v>
      </c>
      <c r="G34" s="6" t="s">
        <v>183</v>
      </c>
      <c r="H34" s="6" t="s">
        <v>182</v>
      </c>
      <c r="I34" s="7"/>
      <c r="J34" s="7"/>
    </row>
    <row r="35" spans="1:10" x14ac:dyDescent="0.35">
      <c r="A35" s="4" t="s">
        <v>181</v>
      </c>
      <c r="B35" s="6" t="s">
        <v>180</v>
      </c>
      <c r="C35" s="4" t="s">
        <v>179</v>
      </c>
      <c r="D35" s="4" t="s">
        <v>178</v>
      </c>
      <c r="F35" s="4">
        <v>100</v>
      </c>
      <c r="G35" s="6" t="s">
        <v>177</v>
      </c>
      <c r="H35" s="6" t="s">
        <v>176</v>
      </c>
      <c r="I35" s="5">
        <v>0.03</v>
      </c>
      <c r="J35" s="5">
        <v>2.8</v>
      </c>
    </row>
    <row r="36" spans="1:10" x14ac:dyDescent="0.35">
      <c r="A36" s="4" t="s">
        <v>175</v>
      </c>
      <c r="B36" s="6" t="s">
        <v>34</v>
      </c>
      <c r="C36" s="4" t="s">
        <v>170</v>
      </c>
      <c r="D36" s="4" t="s">
        <v>169</v>
      </c>
      <c r="F36" s="4">
        <v>10</v>
      </c>
      <c r="G36" s="6" t="s">
        <v>174</v>
      </c>
      <c r="H36" s="6" t="s">
        <v>173</v>
      </c>
      <c r="I36" s="7"/>
      <c r="J36" s="7"/>
    </row>
    <row r="37" spans="1:10" x14ac:dyDescent="0.35">
      <c r="A37" s="4" t="s">
        <v>172</v>
      </c>
      <c r="B37" s="6" t="s">
        <v>171</v>
      </c>
      <c r="C37" s="4" t="s">
        <v>170</v>
      </c>
      <c r="D37" s="4" t="s">
        <v>169</v>
      </c>
      <c r="F37" s="4">
        <v>4</v>
      </c>
      <c r="G37" s="6" t="s">
        <v>168</v>
      </c>
      <c r="H37" s="6" t="s">
        <v>167</v>
      </c>
      <c r="I37" s="7"/>
      <c r="J37" s="7"/>
    </row>
    <row r="38" spans="1:10" x14ac:dyDescent="0.35">
      <c r="A38" s="4" t="s">
        <v>166</v>
      </c>
      <c r="B38" s="6" t="s">
        <v>165</v>
      </c>
      <c r="C38" s="4" t="s">
        <v>154</v>
      </c>
      <c r="D38" s="4" t="s">
        <v>164</v>
      </c>
      <c r="F38" s="4">
        <v>100</v>
      </c>
      <c r="G38" s="6" t="s">
        <v>163</v>
      </c>
      <c r="H38" s="6" t="s">
        <v>162</v>
      </c>
      <c r="I38" s="5">
        <v>0.01</v>
      </c>
      <c r="J38" s="5">
        <v>1.2</v>
      </c>
    </row>
    <row r="39" spans="1:10" x14ac:dyDescent="0.35">
      <c r="A39" s="4" t="s">
        <v>161</v>
      </c>
      <c r="B39" s="6" t="s">
        <v>160</v>
      </c>
      <c r="C39" s="4" t="s">
        <v>154</v>
      </c>
      <c r="D39" s="4" t="s">
        <v>159</v>
      </c>
      <c r="F39" s="4">
        <v>100</v>
      </c>
      <c r="G39" s="6" t="s">
        <v>158</v>
      </c>
      <c r="H39" s="6" t="s">
        <v>157</v>
      </c>
      <c r="I39" s="5">
        <v>0.01</v>
      </c>
      <c r="J39" s="5">
        <v>1.3</v>
      </c>
    </row>
    <row r="40" spans="1:10" x14ac:dyDescent="0.35">
      <c r="A40" s="4" t="s">
        <v>156</v>
      </c>
      <c r="B40" s="6" t="s">
        <v>155</v>
      </c>
      <c r="C40" s="4" t="s">
        <v>154</v>
      </c>
      <c r="D40" s="4" t="s">
        <v>153</v>
      </c>
      <c r="F40" s="4">
        <v>100</v>
      </c>
      <c r="G40" s="6" t="s">
        <v>152</v>
      </c>
      <c r="H40" s="6" t="s">
        <v>151</v>
      </c>
      <c r="I40" s="7"/>
      <c r="J40" s="7"/>
    </row>
    <row r="41" spans="1:10" x14ac:dyDescent="0.35">
      <c r="A41" s="4" t="s">
        <v>150</v>
      </c>
      <c r="B41" s="6" t="s">
        <v>149</v>
      </c>
      <c r="C41" s="4" t="s">
        <v>144</v>
      </c>
      <c r="D41" s="4" t="s">
        <v>148</v>
      </c>
      <c r="F41" s="4">
        <v>1</v>
      </c>
      <c r="G41" s="6" t="s">
        <v>147</v>
      </c>
      <c r="H41" s="6" t="s">
        <v>147</v>
      </c>
      <c r="I41" s="5">
        <v>16.63</v>
      </c>
      <c r="J41" s="5">
        <v>16.63</v>
      </c>
    </row>
    <row r="42" spans="1:10" x14ac:dyDescent="0.35">
      <c r="A42" s="4" t="s">
        <v>146</v>
      </c>
      <c r="B42" s="6" t="s">
        <v>145</v>
      </c>
      <c r="C42" s="4" t="s">
        <v>144</v>
      </c>
      <c r="D42" s="4" t="s">
        <v>143</v>
      </c>
      <c r="F42" s="4">
        <v>1</v>
      </c>
      <c r="G42" s="6" t="s">
        <v>142</v>
      </c>
      <c r="H42" s="6" t="s">
        <v>142</v>
      </c>
      <c r="I42" s="5">
        <v>11.48</v>
      </c>
      <c r="J42" s="5">
        <v>11.48</v>
      </c>
    </row>
    <row r="43" spans="1:10" x14ac:dyDescent="0.35">
      <c r="A43" s="4" t="s">
        <v>141</v>
      </c>
      <c r="B43" s="6" t="s">
        <v>140</v>
      </c>
      <c r="C43" s="4" t="s">
        <v>139</v>
      </c>
      <c r="D43" s="4" t="s">
        <v>138</v>
      </c>
      <c r="F43" s="4">
        <v>2</v>
      </c>
      <c r="G43" s="6" t="s">
        <v>137</v>
      </c>
      <c r="H43" s="6" t="s">
        <v>136</v>
      </c>
      <c r="I43" s="7"/>
      <c r="J43" s="7"/>
    </row>
    <row r="44" spans="1:10" x14ac:dyDescent="0.35">
      <c r="A44" s="4" t="s">
        <v>135</v>
      </c>
      <c r="B44" s="6" t="s">
        <v>134</v>
      </c>
      <c r="C44" s="4" t="s">
        <v>133</v>
      </c>
      <c r="D44" s="4" t="s">
        <v>132</v>
      </c>
      <c r="F44" s="4">
        <v>10</v>
      </c>
      <c r="G44" s="6" t="s">
        <v>131</v>
      </c>
      <c r="H44" s="6" t="s">
        <v>130</v>
      </c>
      <c r="I44" s="5">
        <v>0.03</v>
      </c>
      <c r="J44" s="5">
        <v>0.25</v>
      </c>
    </row>
  </sheetData>
  <pageMargins left="0.7" right="0.7" top="0.75" bottom="0.75" header="0.3" footer="0.3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LCC-Pico-Stepper_v2_6A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Gamble</dc:creator>
  <cp:lastModifiedBy>Bob Gamble</cp:lastModifiedBy>
  <cp:lastPrinted>2025-12-09T17:55:40Z</cp:lastPrinted>
  <dcterms:created xsi:type="dcterms:W3CDTF">2025-12-09T17:47:47Z</dcterms:created>
  <dcterms:modified xsi:type="dcterms:W3CDTF">2025-12-09T22:08:01Z</dcterms:modified>
</cp:coreProperties>
</file>